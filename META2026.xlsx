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g_fe\Documents\PERSONALES\Silvana\"/>
    </mc:Choice>
  </mc:AlternateContent>
  <xr:revisionPtr revIDLastSave="0" documentId="13_ncr:1_{C7685AED-61DC-41EA-9CD7-F8D85BA5FE76}" xr6:coauthVersionLast="47" xr6:coauthVersionMax="47" xr10:uidLastSave="{00000000-0000-0000-0000-000000000000}"/>
  <bookViews>
    <workbookView xWindow="-108" yWindow="-108" windowWidth="23256" windowHeight="12456" xr2:uid="{C20E0592-DC43-4B0C-85C9-6674D8ADB2EC}"/>
  </bookViews>
  <sheets>
    <sheet name="META2026" sheetId="1" r:id="rId1"/>
    <sheet name="CULTIVO" sheetId="3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<sst xmlns="http://schemas.openxmlformats.org/spreadsheetml/2006/main" count="818" uniqueCount="83">
  <si>
    <t>AGUASCALIENTES</t>
  </si>
  <si>
    <t>BAJA CALIFORNIA</t>
  </si>
  <si>
    <t>BAJA CALIFORNIA SUR</t>
  </si>
  <si>
    <t>CAMPECHE</t>
  </si>
  <si>
    <t>CHIAPAS</t>
  </si>
  <si>
    <t>CHIHUAHUA</t>
  </si>
  <si>
    <t>CIUDAD DE MEXICO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</si>
  <si>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</si>
  <si>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</si>
  <si>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</si>
  <si>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</si>
  <si>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</si>
  <si>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</si>
  <si>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</si>
  <si>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</si>
  <si>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</si>
  <si>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</si>
  <si>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</si>
  <si>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</si>
  <si>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</si>
  <si>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</si>
  <si>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</si>
  <si>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</si>
  <si>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</si>
  <si>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</si>
  <si>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</si>
  <si>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</si>
  <si>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</si>
  <si>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</si>
  <si>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</si>
  <si>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</si>
  <si>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</si>
  <si>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Hombres</t>
  </si>
  <si>
    <t>Mujeres</t>
  </si>
  <si>
    <t>Estado</t>
  </si>
  <si>
    <t>Productores</t>
  </si>
  <si>
    <t>Superficie</t>
  </si>
  <si>
    <t>DAP (ton)</t>
  </si>
  <si>
    <t>UREA (ton)</t>
  </si>
  <si>
    <t>Total fertilizante (ton)</t>
  </si>
  <si>
    <t>Monto (mxn)</t>
  </si>
  <si>
    <t>Municipios</t>
  </si>
  <si>
    <t>CEDA</t>
  </si>
  <si>
    <t>MAIZ</t>
  </si>
  <si>
    <t>FRIJOL</t>
  </si>
  <si>
    <t>MILPA</t>
  </si>
  <si>
    <t>AVENA GRANO</t>
  </si>
  <si>
    <t>TRIGO GRANO</t>
  </si>
  <si>
    <t>SORGO GRANO</t>
  </si>
  <si>
    <t>CEBADA GRANO</t>
  </si>
  <si>
    <t>CAÑA DE AZUCAR</t>
  </si>
  <si>
    <t>GARBANZO GRANO</t>
  </si>
  <si>
    <t>CALABAZA (SEMILLA) O CHIHUA</t>
  </si>
  <si>
    <t>ARROZ</t>
  </si>
  <si>
    <t>SOYA GRANO</t>
  </si>
  <si>
    <t>CAFE</t>
  </si>
  <si>
    <t>CACAO</t>
  </si>
  <si>
    <t>CACAHUATE</t>
  </si>
  <si>
    <t>AJONJOLI GRANO</t>
  </si>
  <si>
    <t>AMARANTO</t>
  </si>
  <si>
    <t>ALGODÓN</t>
  </si>
  <si>
    <t>SORGO ESCOBERO</t>
  </si>
  <si>
    <t>MELÓN</t>
  </si>
  <si>
    <t>SANDÍA</t>
  </si>
  <si>
    <t>CHILE</t>
  </si>
  <si>
    <t>GIRASOL GRANO</t>
  </si>
  <si>
    <t>UVA</t>
  </si>
  <si>
    <t>HIGO</t>
  </si>
  <si>
    <t>NOPAL</t>
  </si>
  <si>
    <t>CEBOLLA</t>
  </si>
  <si>
    <t>CHIA</t>
  </si>
  <si>
    <t>HABA GRANO</t>
  </si>
  <si>
    <t>ARVEJON GRANO</t>
  </si>
  <si>
    <t>LENTEJA</t>
  </si>
  <si>
    <t>CARTAMO GRANO</t>
  </si>
  <si>
    <t>HORTALIZAS</t>
  </si>
  <si>
    <t>MAIZ ELOTERO</t>
  </si>
  <si>
    <t>COLZA</t>
  </si>
  <si>
    <t>CANOLA</t>
  </si>
  <si>
    <t>Cultivo</t>
  </si>
  <si>
    <t>Total general</t>
  </si>
  <si>
    <t>Suma de Productores</t>
  </si>
  <si>
    <t>Suma de Productores2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</si>
</sst>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44" fontId="0" fillId="0" borderId="0" xfId="2" applyFont="1"/>
    <xf numFmtId="164" fontId="0" fillId="0" borderId="0" xfId="1" applyNumberFormat="1" applyFont="1"/>
    <xf numFmtId="165" fontId="0" fillId="0" borderId="0" xfId="1" applyNumberFormat="1" applyFont="1"/>
    <xf numFmtId="0" fontId="0" fillId="0" borderId="0" xfId="0" applyAlignment="1">
      <alignment horizontal="center"/>
    </xf>
    <xf numFmtId="9" fontId="0" fillId="0" borderId="0" xfId="3" applyFont="1" applyAlignment="1">
      <alignment horizontal="center"/>
    </xf>
    <xf numFmtId="0" fontId="0" fillId="0" borderId="0" xfId="0" pivotButton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Fill="1"/>
    <xf numFmtId="164" fontId="0" fillId="0" borderId="0" xfId="1" applyNumberFormat="1" applyFont="1" applyFill="1"/>
    <xf numFmtId="165" fontId="0" fillId="0" borderId="0" xfId="1" applyNumberFormat="1" applyFont="1" applyFill="1"/>
    <xf numFmtId="44" fontId="0" fillId="0" borderId="0" xfId="2" applyFont="1" applyFill="1"/>
  </cellXfs>
  <cellStyles count="45">
    <cellStyle name="20% - Énfasis1" xfId="22" builtinId="30" customBuiltin="1"/>
    <cellStyle name="20% - Énfasis2" xfId="26" builtinId="34" customBuiltin="1"/>
    <cellStyle name="20% - Énfasis3" xfId="30" builtinId="38" customBuiltin="1"/>
    <cellStyle name="20% - Énfasis4" xfId="34" builtinId="42" customBuiltin="1"/>
    <cellStyle name="20% - Énfasis5" xfId="38" builtinId="46" customBuiltin="1"/>
    <cellStyle name="20% - Énfasis6" xfId="42" builtinId="50" customBuiltin="1"/>
    <cellStyle name="40% - Énfasis1" xfId="23" builtinId="31" customBuiltin="1"/>
    <cellStyle name="40% - Énfasis2" xfId="27" builtinId="35" customBuiltin="1"/>
    <cellStyle name="40% - Énfasis3" xfId="31" builtinId="39" customBuiltin="1"/>
    <cellStyle name="40% - Énfasis4" xfId="35" builtinId="43" customBuiltin="1"/>
    <cellStyle name="40% - Énfasis5" xfId="39" builtinId="47" customBuiltin="1"/>
    <cellStyle name="40% - Énfasis6" xfId="43" builtinId="51" customBuiltin="1"/>
    <cellStyle name="60% - Énfasis1" xfId="24" builtinId="32" customBuiltin="1"/>
    <cellStyle name="60% - Énfasis2" xfId="28" builtinId="36" customBuiltin="1"/>
    <cellStyle name="60% - Énfasis3" xfId="32" builtinId="40" customBuiltin="1"/>
    <cellStyle name="60% - Énfasis4" xfId="36" builtinId="44" customBuiltin="1"/>
    <cellStyle name="60% - Énfasis5" xfId="40" builtinId="48" customBuiltin="1"/>
    <cellStyle name="60% - Énfasis6" xfId="44" builtinId="52" customBuiltin="1"/>
    <cellStyle name="Bueno" xfId="9" builtinId="26" customBuiltin="1"/>
    <cellStyle name="Cálculo" xfId="14" builtinId="22" customBuiltin="1"/>
    <cellStyle name="Celda de comprobación" xfId="16" builtinId="23" customBuiltin="1"/>
    <cellStyle name="Celda vinculada" xfId="15" builtinId="24" customBuiltin="1"/>
    <cellStyle name="Encabezado 1" xfId="5" builtinId="16" customBuiltin="1"/>
    <cellStyle name="Encabezado 4" xfId="8" builtinId="19" customBuiltin="1"/>
    <cellStyle name="Énfasis1" xfId="21" builtinId="29" customBuiltin="1"/>
    <cellStyle name="Énfasis2" xfId="25" builtinId="33" customBuiltin="1"/>
    <cellStyle name="Énfasis3" xfId="29" builtinId="37" customBuiltin="1"/>
    <cellStyle name="Énfasis4" xfId="33" builtinId="41" customBuiltin="1"/>
    <cellStyle name="Énfasis5" xfId="37" builtinId="45" customBuiltin="1"/>
    <cellStyle name="Énfasis6" xfId="41" builtinId="49" customBuiltin="1"/>
    <cellStyle name="Entrada" xfId="12" builtinId="20" customBuiltin="1"/>
    <cellStyle name="Incorrecto" xfId="10" builtinId="27" customBuiltin="1"/>
    <cellStyle name="Millares" xfId="1" builtinId="3"/>
    <cellStyle name="Moneda" xfId="2" builtinId="4"/>
    <cellStyle name="Neutral" xfId="11" builtinId="28" customBuiltin="1"/>
    <cellStyle name="Normal" xfId="0" builtinId="0"/>
    <cellStyle name="Notas" xfId="18" builtinId="10" customBuiltin="1"/>
    <cellStyle name="Porcentaje" xfId="3" builtinId="5"/>
    <cellStyle name="Salida" xfId="13" builtinId="21" customBuiltin="1"/>
    <cellStyle name="Texto de advertencia" xfId="17" builtinId="11" customBuiltin="1"/>
    <cellStyle name="Texto explicativo" xfId="19" builtinId="53" customBuiltin="1"/>
    <cellStyle name="Título" xfId="4" builtinId="15" customBuiltin="1"/>
    <cellStyle name="Título 2" xfId="6" builtinId="17" customBuiltin="1"/>
    <cellStyle name="Título 3" xfId="7" builtinId="18" customBuiltin="1"/>
    <cellStyle name="Total" xfId="20" builtinId="25" customBuiltin="1"/>
  </cellStyles>
  <dxfs count="77"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g_fe" refreshedDate="46226.588021064817" createdVersion="8" refreshedVersion="8" minRefreshableVersion="3" recordCount="389" xr:uid="{3669F105-18E5-4249-9C26-1AF4CE3CC495}">
  <cacheSource type="worksheet">
    <worksheetSource ref="A1:D390" sheet="CULTIVOS"/>
  </cacheSource>
  <cacheFields count="4">
    <cacheField name="Estado" numFmtId="0">
      <sharedItems count="32">
        <s v="AGUASCALIENTES"/>
        <s v="BAJA CALIFORNIA"/>
        <s v="BAJA CALIFORNIA SUR"/>
        <s v="CAMPECHE"/>
        <s v="CHIAPAS"/>
        <s v="CHIHUAHUA"/>
        <s v="CIUDAD DE MEXICO"/>
        <s v="COAHUILA DE ZARAGOZA"/>
        <s v="COLIMA"/>
        <s v="DURANGO"/>
        <s v="GUANAJUATO"/>
        <s v="GUERRERO"/>
        <s v="HIDALGO"/>
        <s v="JALISCO"/>
        <s v="MEXICO"/>
        <s v="MICHOACAN DE OCAMPO"/>
        <s v="MORELOS"/>
        <s v="NAYARIT"/>
        <s v="NUEVO LEON"/>
        <s v="OAXACA"/>
        <s v="PUEBLA"/>
        <s v="QUERETARO DE ARTEAGA"/>
        <s v="QUINTANA ROO"/>
        <s v="SAN LUIS POTOSI"/>
        <s v="SINALOA"/>
        <s v="SONORA"/>
        <s v="TABASCO"/>
        <s v="TAMAULIPAS"/>
        <s v="TLAXCALA"/>
        <s v="VERACRUZ DE IGNACIO DE LA LLAVE"/>
        <s v="YUCATAN"/>
        <s v="ZACATECAS"/>
      </sharedItems>
    </cacheField>
    <cacheField name="Cultivo" numFmtId="0">
      <sharedItems count="36">
        <s v="MAIZ"/>
        <s v="FRIJOL"/>
        <s v="MILPA"/>
        <s v="AVENA GRANO"/>
        <s v="TRIGO GRANO"/>
        <s v="SORGO GRANO"/>
        <s v="CEBADA GRANO"/>
        <s v="CAÑA DE AZUCAR"/>
        <s v="GARBANZO GRANO"/>
        <s v="CALABAZA (SEMILLA) O CHIHUA"/>
        <s v="ARROZ"/>
        <s v="SOYA GRANO"/>
        <s v="CAFE"/>
        <s v="CACAO"/>
        <s v="CACAHUATE"/>
        <s v="AJONJOLI GRANO"/>
        <s v="AMARANTO"/>
        <s v="ALGODÓN"/>
        <s v="SORGO ESCOBERO"/>
        <s v="MELÓN"/>
        <s v="SANDÍA"/>
        <s v="CHILE"/>
        <s v="GIRASOL GRANO"/>
        <s v="UVA"/>
        <s v="HIGO"/>
        <s v="NOPAL"/>
        <s v="CEBOLLA"/>
        <s v="CHIA"/>
        <s v="HABA GRANO"/>
        <s v="ARVEJON GRANO"/>
        <s v="LENTEJA"/>
        <s v="CARTAMO GRANO"/>
        <s v="HORTALIZAS"/>
        <s v="MAIZ ELOTERO"/>
        <s v="COLZA"/>
        <s v="CANOLA"/>
      </sharedItems>
    </cacheField>
    <cacheField name="Productores" numFmtId="0">
      <sharedItems containsSemiMixedTypes="0" containsString="0" containsNumber="1" containsInteger="1" minValue="1" maxValue="290372"/>
    </cacheField>
    <cacheField name="%" numFmtId="9">
      <sharedItems containsSemiMixedTypes="0" containsString="0" containsNumber="1" minValue="3.0195424789235935E-6" maxValue="0.959978655282817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">
  <r>
    <x v="0"/>
    <x v="0"/>
    <n v="7196"/>
    <n v="0.95997865528281745"/>
  </r>
  <r>
    <x v="0"/>
    <x v="1"/>
    <n v="253"/>
    <n v="3.3751334044823909E-2"/>
  </r>
  <r>
    <x v="0"/>
    <x v="2"/>
    <n v="25"/>
    <n v="3.3351120597652083E-3"/>
  </r>
  <r>
    <x v="0"/>
    <x v="3"/>
    <n v="19"/>
    <n v="2.534685165421558E-3"/>
  </r>
  <r>
    <x v="0"/>
    <x v="4"/>
    <n v="2"/>
    <n v="2.6680896478121667E-4"/>
  </r>
  <r>
    <x v="0"/>
    <x v="5"/>
    <n v="1"/>
    <n v="1.3340448239060833E-4"/>
  </r>
  <r>
    <x v="1"/>
    <x v="4"/>
    <n v="409"/>
    <n v="0.89692982456140347"/>
  </r>
  <r>
    <x v="1"/>
    <x v="0"/>
    <n v="33"/>
    <n v="7.2368421052631582E-2"/>
  </r>
  <r>
    <x v="1"/>
    <x v="6"/>
    <n v="6"/>
    <n v="1.3157894736842105E-2"/>
  </r>
  <r>
    <x v="1"/>
    <x v="1"/>
    <n v="4"/>
    <n v="8.771929824561403E-3"/>
  </r>
  <r>
    <x v="1"/>
    <x v="3"/>
    <n v="2"/>
    <n v="4.3859649122807015E-3"/>
  </r>
  <r>
    <x v="1"/>
    <x v="5"/>
    <n v="1"/>
    <n v="2.1929824561403508E-3"/>
  </r>
  <r>
    <x v="1"/>
    <x v="2"/>
    <n v="1"/>
    <n v="2.1929824561403508E-3"/>
  </r>
  <r>
    <x v="2"/>
    <x v="0"/>
    <n v="470"/>
    <n v="0.82167832167832167"/>
  </r>
  <r>
    <x v="2"/>
    <x v="4"/>
    <n v="65"/>
    <n v="0.11363636363636363"/>
  </r>
  <r>
    <x v="2"/>
    <x v="1"/>
    <n v="26"/>
    <n v="4.5454545454545456E-2"/>
  </r>
  <r>
    <x v="2"/>
    <x v="5"/>
    <n v="5"/>
    <n v="8.7412587412587419E-3"/>
  </r>
  <r>
    <x v="2"/>
    <x v="7"/>
    <n v="2"/>
    <n v="3.4965034965034965E-3"/>
  </r>
  <r>
    <x v="2"/>
    <x v="8"/>
    <n v="2"/>
    <n v="3.4965034965034965E-3"/>
  </r>
  <r>
    <x v="2"/>
    <x v="2"/>
    <n v="1"/>
    <n v="1.7482517482517483E-3"/>
  </r>
  <r>
    <x v="2"/>
    <x v="3"/>
    <n v="1"/>
    <n v="1.7482517482517483E-3"/>
  </r>
  <r>
    <x v="3"/>
    <x v="0"/>
    <n v="23239"/>
    <n v="0.80604210745378235"/>
  </r>
  <r>
    <x v="3"/>
    <x v="0"/>
    <n v="2418"/>
    <n v="8.3868058686830144E-2"/>
  </r>
  <r>
    <x v="3"/>
    <x v="7"/>
    <n v="2272"/>
    <n v="7.8804065068849502E-2"/>
  </r>
  <r>
    <x v="3"/>
    <x v="2"/>
    <n v="731"/>
    <n v="2.5354652977697616E-2"/>
  </r>
  <r>
    <x v="3"/>
    <x v="9"/>
    <n v="95"/>
    <n v="3.2950643404668586E-3"/>
  </r>
  <r>
    <x v="3"/>
    <x v="10"/>
    <n v="33"/>
    <n v="1.1446012972148034E-3"/>
  </r>
  <r>
    <x v="3"/>
    <x v="1"/>
    <n v="20"/>
    <n v="6.9369775588775967E-4"/>
  </r>
  <r>
    <x v="3"/>
    <x v="11"/>
    <n v="20"/>
    <n v="6.9369775588775967E-4"/>
  </r>
  <r>
    <x v="3"/>
    <x v="5"/>
    <n v="2"/>
    <n v="6.9369775588775976E-5"/>
  </r>
  <r>
    <x v="3"/>
    <x v="4"/>
    <n v="1"/>
    <n v="3.4684887794387988E-5"/>
  </r>
  <r>
    <x v="4"/>
    <x v="0"/>
    <n v="108933"/>
    <n v="0.32224026694354962"/>
  </r>
  <r>
    <x v="4"/>
    <x v="0"/>
    <n v="99207"/>
    <n v="0.29346928995500654"/>
  </r>
  <r>
    <x v="4"/>
    <x v="12"/>
    <n v="75303"/>
    <n v="0.22275764755996913"/>
  </r>
  <r>
    <x v="4"/>
    <x v="2"/>
    <n v="43474"/>
    <n v="0.1286026581945221"/>
  </r>
  <r>
    <x v="4"/>
    <x v="7"/>
    <n v="5654"/>
    <n v="1.6725385964756589E-2"/>
  </r>
  <r>
    <x v="4"/>
    <x v="13"/>
    <n v="3866"/>
    <n v="1.1436211910107706E-2"/>
  </r>
  <r>
    <x v="4"/>
    <x v="1"/>
    <n v="888"/>
    <n v="2.6268381211007872E-3"/>
  </r>
  <r>
    <x v="4"/>
    <x v="14"/>
    <n v="306"/>
    <n v="9.0519421740635237E-4"/>
  </r>
  <r>
    <x v="4"/>
    <x v="11"/>
    <n v="254"/>
    <n v="7.5137036346801796E-4"/>
  </r>
  <r>
    <x v="4"/>
    <x v="5"/>
    <n v="128"/>
    <n v="3.7864333277128466E-4"/>
  </r>
  <r>
    <x v="4"/>
    <x v="4"/>
    <n v="19"/>
    <n v="5.6204869708237562E-5"/>
  </r>
  <r>
    <x v="4"/>
    <x v="15"/>
    <n v="13"/>
    <n v="3.8455963484583596E-5"/>
  </r>
  <r>
    <x v="4"/>
    <x v="10"/>
    <n v="2"/>
    <n v="5.9163020745513229E-6"/>
  </r>
  <r>
    <x v="4"/>
    <x v="9"/>
    <n v="2"/>
    <n v="5.9163020745513229E-6"/>
  </r>
  <r>
    <x v="5"/>
    <x v="0"/>
    <n v="23458"/>
    <n v="0.56351494186605167"/>
  </r>
  <r>
    <x v="5"/>
    <x v="2"/>
    <n v="8191"/>
    <n v="0.19676659940424715"/>
  </r>
  <r>
    <x v="5"/>
    <x v="1"/>
    <n v="5318"/>
    <n v="0.12775055251273182"/>
  </r>
  <r>
    <x v="5"/>
    <x v="3"/>
    <n v="4186"/>
    <n v="0.10055731719035264"/>
  </r>
  <r>
    <x v="5"/>
    <x v="5"/>
    <n v="427"/>
    <n v="1.0257518977611223E-2"/>
  </r>
  <r>
    <x v="5"/>
    <x v="4"/>
    <n v="28"/>
    <n v="6.7262419525319494E-4"/>
  </r>
  <r>
    <x v="5"/>
    <x v="14"/>
    <n v="14"/>
    <n v="3.3631209762659747E-4"/>
  </r>
  <r>
    <x v="5"/>
    <x v="6"/>
    <n v="6"/>
    <n v="1.4413375612568464E-4"/>
  </r>
  <r>
    <x v="6"/>
    <x v="0"/>
    <n v="3144"/>
    <n v="0.80245022970903523"/>
  </r>
  <r>
    <x v="6"/>
    <x v="2"/>
    <n v="655"/>
    <n v="0.16717713118938235"/>
  </r>
  <r>
    <x v="6"/>
    <x v="16"/>
    <n v="57"/>
    <n v="1.4548238897396631E-2"/>
  </r>
  <r>
    <x v="6"/>
    <x v="1"/>
    <n v="31"/>
    <n v="7.9122001020929048E-3"/>
  </r>
  <r>
    <x v="6"/>
    <x v="3"/>
    <n v="30"/>
    <n v="7.656967840735069E-3"/>
  </r>
  <r>
    <x v="6"/>
    <x v="4"/>
    <n v="1"/>
    <n v="2.5523226135783564E-4"/>
  </r>
  <r>
    <x v="7"/>
    <x v="0"/>
    <n v="6610"/>
    <n v="0.71420853592652622"/>
  </r>
  <r>
    <x v="7"/>
    <x v="1"/>
    <n v="982"/>
    <n v="0.10610480821177742"/>
  </r>
  <r>
    <x v="7"/>
    <x v="5"/>
    <n v="739"/>
    <n v="7.9848730415991359E-2"/>
  </r>
  <r>
    <x v="7"/>
    <x v="17"/>
    <n v="265"/>
    <n v="2.8633171258779039E-2"/>
  </r>
  <r>
    <x v="7"/>
    <x v="18"/>
    <n v="211"/>
    <n v="2.2798487304159915E-2"/>
  </r>
  <r>
    <x v="7"/>
    <x v="3"/>
    <n v="178"/>
    <n v="1.9232847109670447E-2"/>
  </r>
  <r>
    <x v="7"/>
    <x v="19"/>
    <n v="92"/>
    <n v="9.9405726634251759E-3"/>
  </r>
  <r>
    <x v="7"/>
    <x v="4"/>
    <n v="83"/>
    <n v="8.9681253376553208E-3"/>
  </r>
  <r>
    <x v="7"/>
    <x v="20"/>
    <n v="43"/>
    <n v="4.6461372231226365E-3"/>
  </r>
  <r>
    <x v="7"/>
    <x v="21"/>
    <n v="26"/>
    <n v="2.8092922744462454E-3"/>
  </r>
  <r>
    <x v="7"/>
    <x v="6"/>
    <n v="6"/>
    <n v="6.482982171799027E-4"/>
  </r>
  <r>
    <x v="7"/>
    <x v="22"/>
    <n v="4"/>
    <n v="4.3219881145326852E-4"/>
  </r>
  <r>
    <x v="7"/>
    <x v="23"/>
    <n v="4"/>
    <n v="4.3219881145326852E-4"/>
  </r>
  <r>
    <x v="7"/>
    <x v="24"/>
    <n v="4"/>
    <n v="4.3219881145326852E-4"/>
  </r>
  <r>
    <x v="7"/>
    <x v="10"/>
    <n v="3"/>
    <n v="3.2414910858995135E-4"/>
  </r>
  <r>
    <x v="7"/>
    <x v="25"/>
    <n v="2"/>
    <n v="2.1609940572663426E-4"/>
  </r>
  <r>
    <x v="7"/>
    <x v="9"/>
    <n v="1"/>
    <n v="1.0804970286331713E-4"/>
  </r>
  <r>
    <x v="7"/>
    <x v="26"/>
    <n v="1"/>
    <n v="1.0804970286331713E-4"/>
  </r>
  <r>
    <x v="7"/>
    <x v="11"/>
    <n v="1"/>
    <n v="1.0804970286331713E-4"/>
  </r>
  <r>
    <x v="8"/>
    <x v="0"/>
    <n v="2261"/>
    <n v="0.61373507057546151"/>
  </r>
  <r>
    <x v="8"/>
    <x v="7"/>
    <n v="1093"/>
    <n v="0.29668838219326821"/>
  </r>
  <r>
    <x v="8"/>
    <x v="10"/>
    <n v="185"/>
    <n v="5.0217155266015202E-2"/>
  </r>
  <r>
    <x v="8"/>
    <x v="12"/>
    <n v="83"/>
    <n v="2.252985884907709E-2"/>
  </r>
  <r>
    <x v="8"/>
    <x v="5"/>
    <n v="50"/>
    <n v="1.3572204125950055E-2"/>
  </r>
  <r>
    <x v="8"/>
    <x v="2"/>
    <n v="7"/>
    <n v="1.9001085776330076E-3"/>
  </r>
  <r>
    <x v="8"/>
    <x v="1"/>
    <n v="3"/>
    <n v="8.1433224755700329E-4"/>
  </r>
  <r>
    <x v="8"/>
    <x v="14"/>
    <n v="2"/>
    <n v="5.428881650380022E-4"/>
  </r>
  <r>
    <x v="9"/>
    <x v="1"/>
    <n v="25089"/>
    <n v="0.47948399426660299"/>
  </r>
  <r>
    <x v="9"/>
    <x v="0"/>
    <n v="24788"/>
    <n v="0.47373148590539893"/>
  </r>
  <r>
    <x v="9"/>
    <x v="3"/>
    <n v="1624"/>
    <n v="3.1036789297658861E-2"/>
  </r>
  <r>
    <x v="9"/>
    <x v="2"/>
    <n v="467"/>
    <n v="8.9249880554228382E-3"/>
  </r>
  <r>
    <x v="9"/>
    <x v="5"/>
    <n v="297"/>
    <n v="5.6760630673674149E-3"/>
  </r>
  <r>
    <x v="9"/>
    <x v="4"/>
    <n v="32"/>
    <n v="6.1156235069278542E-4"/>
  </r>
  <r>
    <x v="9"/>
    <x v="6"/>
    <n v="18"/>
    <n v="3.4400382226469183E-4"/>
  </r>
  <r>
    <x v="9"/>
    <x v="14"/>
    <n v="10"/>
    <n v="1.9111323459149545E-4"/>
  </r>
  <r>
    <x v="10"/>
    <x v="0"/>
    <n v="30367"/>
    <n v="0.64635392277893666"/>
  </r>
  <r>
    <x v="10"/>
    <x v="2"/>
    <n v="7901"/>
    <n v="0.16817078881273678"/>
  </r>
  <r>
    <x v="10"/>
    <x v="5"/>
    <n v="5120"/>
    <n v="0.10897790643225065"/>
  </r>
  <r>
    <x v="10"/>
    <x v="1"/>
    <n v="1890"/>
    <n v="4.0228172491592523E-2"/>
  </r>
  <r>
    <x v="10"/>
    <x v="4"/>
    <n v="1033"/>
    <n v="2.198714401260057E-2"/>
  </r>
  <r>
    <x v="10"/>
    <x v="6"/>
    <n v="378"/>
    <n v="8.0456344983185057E-3"/>
  </r>
  <r>
    <x v="10"/>
    <x v="8"/>
    <n v="131"/>
    <n v="2.7883019028564133E-3"/>
  </r>
  <r>
    <x v="10"/>
    <x v="3"/>
    <n v="118"/>
    <n v="2.5116001873057765E-3"/>
  </r>
  <r>
    <x v="10"/>
    <x v="14"/>
    <n v="22"/>
    <n v="4.68264441701077E-4"/>
  </r>
  <r>
    <x v="10"/>
    <x v="27"/>
    <n v="18"/>
    <n v="3.8312545230088121E-4"/>
  </r>
  <r>
    <x v="10"/>
    <x v="28"/>
    <n v="1"/>
    <n v="2.1284747350048954E-5"/>
  </r>
  <r>
    <x v="10"/>
    <x v="11"/>
    <n v="1"/>
    <n v="2.1284747350048954E-5"/>
  </r>
  <r>
    <x v="10"/>
    <x v="22"/>
    <n v="1"/>
    <n v="2.1284747350048954E-5"/>
  </r>
  <r>
    <x v="10"/>
    <x v="9"/>
    <n v="1"/>
    <n v="2.1284747350048954E-5"/>
  </r>
  <r>
    <x v="11"/>
    <x v="0"/>
    <n v="290372"/>
    <n v="0.8767905886900017"/>
  </r>
  <r>
    <x v="11"/>
    <x v="2"/>
    <n v="26671"/>
    <n v="8.0534217455371163E-2"/>
  </r>
  <r>
    <x v="11"/>
    <x v="1"/>
    <n v="8697"/>
    <n v="2.6260960939198493E-2"/>
  </r>
  <r>
    <x v="11"/>
    <x v="12"/>
    <n v="4737"/>
    <n v="1.4303572722661062E-2"/>
  </r>
  <r>
    <x v="11"/>
    <x v="10"/>
    <n v="511"/>
    <n v="1.5429862067299564E-3"/>
  </r>
  <r>
    <x v="11"/>
    <x v="13"/>
    <n v="111"/>
    <n v="3.3516921516051887E-4"/>
  </r>
  <r>
    <x v="11"/>
    <x v="5"/>
    <n v="56"/>
    <n v="1.6909437881972123E-4"/>
  </r>
  <r>
    <x v="11"/>
    <x v="15"/>
    <n v="9"/>
    <n v="2.7175882310312342E-5"/>
  </r>
  <r>
    <x v="11"/>
    <x v="4"/>
    <n v="6"/>
    <n v="1.8117254873541563E-5"/>
  </r>
  <r>
    <x v="11"/>
    <x v="14"/>
    <n v="2"/>
    <n v="6.039084957847187E-6"/>
  </r>
  <r>
    <x v="11"/>
    <x v="7"/>
    <n v="2"/>
    <n v="6.039084957847187E-6"/>
  </r>
  <r>
    <x v="11"/>
    <x v="9"/>
    <n v="1"/>
    <n v="3.0195424789235935E-6"/>
  </r>
  <r>
    <x v="11"/>
    <x v="11"/>
    <n v="1"/>
    <n v="3.0195424789235935E-6"/>
  </r>
  <r>
    <x v="12"/>
    <x v="0"/>
    <n v="44586"/>
    <n v="0.63936330393633034"/>
  </r>
  <r>
    <x v="12"/>
    <x v="2"/>
    <n v="13178"/>
    <n v="0.18897253889725388"/>
  </r>
  <r>
    <x v="12"/>
    <x v="6"/>
    <n v="6214"/>
    <n v="8.9108768910876893E-2"/>
  </r>
  <r>
    <x v="12"/>
    <x v="12"/>
    <n v="2703"/>
    <n v="3.8761023876102391E-2"/>
  </r>
  <r>
    <x v="12"/>
    <x v="3"/>
    <n v="1299"/>
    <n v="1.8627661862766185E-2"/>
  </r>
  <r>
    <x v="12"/>
    <x v="1"/>
    <n v="1133"/>
    <n v="1.6247221624722162E-2"/>
  </r>
  <r>
    <x v="12"/>
    <x v="7"/>
    <n v="499"/>
    <n v="7.1556607155660711E-3"/>
  </r>
  <r>
    <x v="12"/>
    <x v="4"/>
    <n v="82"/>
    <n v="1.1758801175880118E-3"/>
  </r>
  <r>
    <x v="12"/>
    <x v="16"/>
    <n v="18"/>
    <n v="2.5812002581200258E-4"/>
  </r>
  <r>
    <x v="12"/>
    <x v="28"/>
    <n v="14"/>
    <n v="2.00760020076002E-4"/>
  </r>
  <r>
    <x v="12"/>
    <x v="5"/>
    <n v="3"/>
    <n v="4.3020004302000431E-5"/>
  </r>
  <r>
    <x v="12"/>
    <x v="22"/>
    <n v="3"/>
    <n v="4.3020004302000431E-5"/>
  </r>
  <r>
    <x v="12"/>
    <x v="15"/>
    <n v="1"/>
    <n v="1.4340001434000144E-5"/>
  </r>
  <r>
    <x v="12"/>
    <x v="14"/>
    <n v="1"/>
    <n v="1.4340001434000144E-5"/>
  </r>
  <r>
    <x v="12"/>
    <x v="10"/>
    <n v="1"/>
    <n v="1.4340001434000144E-5"/>
  </r>
  <r>
    <x v="13"/>
    <x v="0"/>
    <n v="42641"/>
    <n v="0.68648474603557919"/>
  </r>
  <r>
    <x v="13"/>
    <x v="7"/>
    <n v="15626"/>
    <n v="0.251565644369315"/>
  </r>
  <r>
    <x v="13"/>
    <x v="2"/>
    <n v="1964"/>
    <n v="3.1618771633260885E-2"/>
  </r>
  <r>
    <x v="13"/>
    <x v="5"/>
    <n v="566"/>
    <n v="9.1121307252676493E-3"/>
  </r>
  <r>
    <x v="13"/>
    <x v="1"/>
    <n v="517"/>
    <n v="8.3232713515253957E-3"/>
  </r>
  <r>
    <x v="13"/>
    <x v="12"/>
    <n v="250"/>
    <n v="4.0247927231747563E-3"/>
  </r>
  <r>
    <x v="13"/>
    <x v="27"/>
    <n v="228"/>
    <n v="3.6706109635353777E-3"/>
  </r>
  <r>
    <x v="13"/>
    <x v="4"/>
    <n v="101"/>
    <n v="1.6260162601626016E-3"/>
  </r>
  <r>
    <x v="13"/>
    <x v="3"/>
    <n v="85"/>
    <n v="1.3684295258794173E-3"/>
  </r>
  <r>
    <x v="13"/>
    <x v="14"/>
    <n v="30"/>
    <n v="4.8297512678097078E-4"/>
  </r>
  <r>
    <x v="13"/>
    <x v="15"/>
    <n v="25"/>
    <n v="4.0247927231747566E-4"/>
  </r>
  <r>
    <x v="13"/>
    <x v="10"/>
    <n v="22"/>
    <n v="3.541817596393786E-4"/>
  </r>
  <r>
    <x v="13"/>
    <x v="9"/>
    <n v="21"/>
    <n v="3.3808258874667952E-4"/>
  </r>
  <r>
    <x v="13"/>
    <x v="6"/>
    <n v="21"/>
    <n v="3.3808258874667952E-4"/>
  </r>
  <r>
    <x v="13"/>
    <x v="8"/>
    <n v="15"/>
    <n v="2.4148756339048539E-4"/>
  </r>
  <r>
    <x v="13"/>
    <x v="13"/>
    <n v="3"/>
    <n v="4.829751267809708E-5"/>
  </r>
  <r>
    <x v="14"/>
    <x v="0"/>
    <n v="160217"/>
    <n v="0.93788489006486053"/>
  </r>
  <r>
    <x v="14"/>
    <x v="3"/>
    <n v="2728"/>
    <n v="1.5969279040906642E-2"/>
  </r>
  <r>
    <x v="14"/>
    <x v="6"/>
    <n v="2175"/>
    <n v="1.2732104807174467E-2"/>
  </r>
  <r>
    <x v="14"/>
    <x v="1"/>
    <n v="1648"/>
    <n v="9.6471304469993215E-3"/>
  </r>
  <r>
    <x v="14"/>
    <x v="2"/>
    <n v="1472"/>
    <n v="8.616854379844054E-3"/>
  </r>
  <r>
    <x v="14"/>
    <x v="4"/>
    <n v="1020"/>
    <n v="5.9709181164680266E-3"/>
  </r>
  <r>
    <x v="14"/>
    <x v="25"/>
    <n v="892"/>
    <n v="5.2216264312641954E-3"/>
  </r>
  <r>
    <x v="14"/>
    <x v="12"/>
    <n v="392"/>
    <n v="2.2947057859367317E-3"/>
  </r>
  <r>
    <x v="14"/>
    <x v="28"/>
    <n v="151"/>
    <n v="8.8393003488889408E-4"/>
  </r>
  <r>
    <x v="14"/>
    <x v="7"/>
    <n v="28"/>
    <n v="1.6390755613833797E-4"/>
  </r>
  <r>
    <x v="14"/>
    <x v="16"/>
    <n v="23"/>
    <n v="1.3463834968506334E-4"/>
  </r>
  <r>
    <x v="14"/>
    <x v="9"/>
    <n v="22"/>
    <n v="1.2878450839440842E-4"/>
  </r>
  <r>
    <x v="14"/>
    <x v="14"/>
    <n v="18"/>
    <n v="1.0536914323178869E-4"/>
  </r>
  <r>
    <x v="14"/>
    <x v="5"/>
    <n v="16"/>
    <n v="9.3661460650478845E-5"/>
  </r>
  <r>
    <x v="14"/>
    <x v="10"/>
    <n v="12"/>
    <n v="7.0246095487859134E-5"/>
  </r>
  <r>
    <x v="14"/>
    <x v="27"/>
    <n v="6"/>
    <n v="3.5123047743929567E-5"/>
  </r>
  <r>
    <x v="14"/>
    <x v="22"/>
    <n v="6"/>
    <n v="3.5123047743929567E-5"/>
  </r>
  <r>
    <x v="14"/>
    <x v="29"/>
    <n v="2"/>
    <n v="1.1707682581309856E-5"/>
  </r>
  <r>
    <x v="15"/>
    <x v="0"/>
    <n v="60502"/>
    <n v="0.79772688316654139"/>
  </r>
  <r>
    <x v="15"/>
    <x v="7"/>
    <n v="5992"/>
    <n v="7.9005313608375191E-2"/>
  </r>
  <r>
    <x v="15"/>
    <x v="2"/>
    <n v="4747"/>
    <n v="6.2589823714779211E-2"/>
  </r>
  <r>
    <x v="15"/>
    <x v="5"/>
    <n v="2692"/>
    <n v="3.5494376541012354E-2"/>
  </r>
  <r>
    <x v="15"/>
    <x v="4"/>
    <n v="643"/>
    <n v="8.4780401619134263E-3"/>
  </r>
  <r>
    <x v="15"/>
    <x v="3"/>
    <n v="635"/>
    <n v="8.3725591023561825E-3"/>
  </r>
  <r>
    <x v="15"/>
    <x v="8"/>
    <n v="162"/>
    <n v="2.135991456034176E-3"/>
  </r>
  <r>
    <x v="15"/>
    <x v="1"/>
    <n v="156"/>
    <n v="2.0568806613662435E-3"/>
  </r>
  <r>
    <x v="15"/>
    <x v="15"/>
    <n v="141"/>
    <n v="1.8591036746964124E-3"/>
  </r>
  <r>
    <x v="15"/>
    <x v="10"/>
    <n v="104"/>
    <n v="1.3712537742441623E-3"/>
  </r>
  <r>
    <x v="15"/>
    <x v="30"/>
    <n v="36"/>
    <n v="4.7466476800759466E-4"/>
  </r>
  <r>
    <x v="15"/>
    <x v="6"/>
    <n v="11"/>
    <n v="1.4503645689120946E-4"/>
  </r>
  <r>
    <x v="15"/>
    <x v="12"/>
    <n v="6"/>
    <n v="7.9110794667932444E-5"/>
  </r>
  <r>
    <x v="15"/>
    <x v="31"/>
    <n v="5"/>
    <n v="6.5925662223277032E-5"/>
  </r>
  <r>
    <x v="15"/>
    <x v="28"/>
    <n v="4"/>
    <n v="5.2740529778621627E-5"/>
  </r>
  <r>
    <x v="15"/>
    <x v="9"/>
    <n v="4"/>
    <n v="5.2740529778621627E-5"/>
  </r>
  <r>
    <x v="15"/>
    <x v="22"/>
    <n v="1"/>
    <n v="1.3185132444655407E-5"/>
  </r>
  <r>
    <x v="15"/>
    <x v="14"/>
    <n v="1"/>
    <n v="1.3185132444655407E-5"/>
  </r>
  <r>
    <x v="15"/>
    <x v="27"/>
    <n v="1"/>
    <n v="1.3185132444655407E-5"/>
  </r>
  <r>
    <x v="16"/>
    <x v="0"/>
    <n v="8243"/>
    <n v="0.45338540234310543"/>
  </r>
  <r>
    <x v="16"/>
    <x v="7"/>
    <n v="7810"/>
    <n v="0.4295693306198779"/>
  </r>
  <r>
    <x v="16"/>
    <x v="5"/>
    <n v="1791"/>
    <n v="9.8509432924481596E-2"/>
  </r>
  <r>
    <x v="16"/>
    <x v="10"/>
    <n v="157"/>
    <n v="8.6353885924866612E-3"/>
  </r>
  <r>
    <x v="16"/>
    <x v="3"/>
    <n v="61"/>
    <n v="3.3551509817941806E-3"/>
  </r>
  <r>
    <x v="16"/>
    <x v="1"/>
    <n v="44"/>
    <n v="2.4201089049007206E-3"/>
  </r>
  <r>
    <x v="16"/>
    <x v="4"/>
    <n v="30"/>
    <n v="1.6500742533414004E-3"/>
  </r>
  <r>
    <x v="16"/>
    <x v="14"/>
    <n v="22"/>
    <n v="1.2100544524503603E-3"/>
  </r>
  <r>
    <x v="16"/>
    <x v="2"/>
    <n v="21"/>
    <n v="1.1550519773389802E-3"/>
  </r>
  <r>
    <x v="16"/>
    <x v="28"/>
    <n v="1"/>
    <n v="5.5002475111380014E-5"/>
  </r>
  <r>
    <x v="16"/>
    <x v="16"/>
    <n v="1"/>
    <n v="5.5002475111380014E-5"/>
  </r>
  <r>
    <x v="17"/>
    <x v="0"/>
    <n v="11355"/>
    <n v="0.40696007454662747"/>
  </r>
  <r>
    <x v="17"/>
    <x v="1"/>
    <n v="6120"/>
    <n v="0.21933911547559315"/>
  </r>
  <r>
    <x v="17"/>
    <x v="7"/>
    <n v="5062"/>
    <n v="0.18142068668912623"/>
  </r>
  <r>
    <x v="17"/>
    <x v="5"/>
    <n v="2429"/>
    <n v="8.7054691419969896E-2"/>
  </r>
  <r>
    <x v="17"/>
    <x v="12"/>
    <n v="1970"/>
    <n v="7.0604257759300404E-2"/>
  </r>
  <r>
    <x v="17"/>
    <x v="10"/>
    <n v="628"/>
    <n v="2.2507347143573938E-2"/>
  </r>
  <r>
    <x v="17"/>
    <x v="2"/>
    <n v="264"/>
    <n v="9.4616873342412734E-3"/>
  </r>
  <r>
    <x v="17"/>
    <x v="14"/>
    <n v="29"/>
    <n v="1.0393520177765035E-3"/>
  </r>
  <r>
    <x v="17"/>
    <x v="4"/>
    <n v="22"/>
    <n v="7.8847394452010605E-4"/>
  </r>
  <r>
    <x v="17"/>
    <x v="9"/>
    <n v="19"/>
    <n v="6.8095477026736432E-4"/>
  </r>
  <r>
    <x v="17"/>
    <x v="15"/>
    <n v="2"/>
    <n v="7.1679449501827825E-5"/>
  </r>
  <r>
    <x v="17"/>
    <x v="11"/>
    <n v="1"/>
    <n v="3.5839724750913912E-5"/>
  </r>
  <r>
    <x v="17"/>
    <x v="8"/>
    <n v="1"/>
    <n v="3.5839724750913912E-5"/>
  </r>
  <r>
    <x v="18"/>
    <x v="0"/>
    <n v="9081"/>
    <n v="0.93918709277071055"/>
  </r>
  <r>
    <x v="18"/>
    <x v="4"/>
    <n v="190"/>
    <n v="1.9650429206743199E-2"/>
  </r>
  <r>
    <x v="18"/>
    <x v="5"/>
    <n v="145"/>
    <n v="1.4996380184093494E-2"/>
  </r>
  <r>
    <x v="18"/>
    <x v="2"/>
    <n v="110"/>
    <n v="1.1376564277588168E-2"/>
  </r>
  <r>
    <x v="18"/>
    <x v="1"/>
    <n v="86"/>
    <n v="8.8944047988416593E-3"/>
  </r>
  <r>
    <x v="18"/>
    <x v="3"/>
    <n v="56"/>
    <n v="5.7917054504085224E-3"/>
  </r>
  <r>
    <x v="18"/>
    <x v="11"/>
    <n v="1"/>
    <n v="1.034233116144379E-4"/>
  </r>
  <r>
    <x v="19"/>
    <x v="0"/>
    <n v="97065"/>
    <n v="0.50092635120838513"/>
  </r>
  <r>
    <x v="19"/>
    <x v="0"/>
    <n v="48677"/>
    <n v="0.25120890122877004"/>
  </r>
  <r>
    <x v="19"/>
    <x v="2"/>
    <n v="20450"/>
    <n v="0.10553694825335061"/>
  </r>
  <r>
    <x v="19"/>
    <x v="12"/>
    <n v="14378"/>
    <n v="7.4200989828199268E-2"/>
  </r>
  <r>
    <x v="19"/>
    <x v="7"/>
    <n v="9681"/>
    <n v="4.9961036481207199E-2"/>
  </r>
  <r>
    <x v="19"/>
    <x v="5"/>
    <n v="1374"/>
    <n v="7.0908443471933364E-3"/>
  </r>
  <r>
    <x v="19"/>
    <x v="1"/>
    <n v="1178"/>
    <n v="6.0793410778702695E-3"/>
  </r>
  <r>
    <x v="19"/>
    <x v="4"/>
    <n v="387"/>
    <n v="1.9972028838164636E-3"/>
  </r>
  <r>
    <x v="19"/>
    <x v="13"/>
    <n v="329"/>
    <n v="1.6978804877922909E-3"/>
  </r>
  <r>
    <x v="19"/>
    <x v="15"/>
    <n v="152"/>
    <n v="7.8443110682197025E-4"/>
  </r>
  <r>
    <x v="19"/>
    <x v="14"/>
    <n v="53"/>
    <n v="2.7351874119450279E-4"/>
  </r>
  <r>
    <x v="19"/>
    <x v="16"/>
    <n v="41"/>
    <n v="2.1158996960329461E-4"/>
  </r>
  <r>
    <x v="19"/>
    <x v="11"/>
    <n v="2"/>
    <n v="1.0321461931868029E-5"/>
  </r>
  <r>
    <x v="19"/>
    <x v="10"/>
    <n v="2"/>
    <n v="1.0321461931868029E-5"/>
  </r>
  <r>
    <x v="19"/>
    <x v="22"/>
    <n v="1"/>
    <n v="5.1607309659340147E-6"/>
  </r>
  <r>
    <x v="19"/>
    <x v="9"/>
    <n v="1"/>
    <n v="5.1607309659340147E-6"/>
  </r>
  <r>
    <x v="20"/>
    <x v="0"/>
    <n v="84118"/>
    <n v="0.71815931016818924"/>
  </r>
  <r>
    <x v="20"/>
    <x v="12"/>
    <n v="13242"/>
    <n v="0.11305387176641339"/>
  </r>
  <r>
    <x v="20"/>
    <x v="7"/>
    <n v="7169"/>
    <n v="6.120549816443268E-2"/>
  </r>
  <r>
    <x v="20"/>
    <x v="2"/>
    <n v="5839"/>
    <n v="4.9850593357807567E-2"/>
  </r>
  <r>
    <x v="20"/>
    <x v="1"/>
    <n v="2027"/>
    <n v="1.7305557927089557E-2"/>
  </r>
  <r>
    <x v="20"/>
    <x v="5"/>
    <n v="1355"/>
    <n v="1.1568342866900026E-2"/>
  </r>
  <r>
    <x v="20"/>
    <x v="32"/>
    <n v="834"/>
    <n v="7.1202936907709385E-3"/>
  </r>
  <r>
    <x v="20"/>
    <x v="6"/>
    <n v="781"/>
    <n v="6.6678050029881329E-3"/>
  </r>
  <r>
    <x v="20"/>
    <x v="16"/>
    <n v="394"/>
    <n v="3.3637838299325536E-3"/>
  </r>
  <r>
    <x v="20"/>
    <x v="33"/>
    <n v="356"/>
    <n v="3.0393579783146931E-3"/>
  </r>
  <r>
    <x v="20"/>
    <x v="28"/>
    <n v="350"/>
    <n v="2.988132843848715E-3"/>
  </r>
  <r>
    <x v="20"/>
    <x v="3"/>
    <n v="322"/>
    <n v="2.749082216340818E-3"/>
  </r>
  <r>
    <x v="20"/>
    <x v="14"/>
    <n v="117"/>
    <n v="9.9889012208657056E-4"/>
  </r>
  <r>
    <x v="20"/>
    <x v="4"/>
    <n v="87"/>
    <n v="7.4276444975668061E-4"/>
  </r>
  <r>
    <x v="20"/>
    <x v="27"/>
    <n v="71"/>
    <n v="6.0616409118073936E-4"/>
  </r>
  <r>
    <x v="20"/>
    <x v="34"/>
    <n v="54"/>
    <n v="4.6102621019380178E-4"/>
  </r>
  <r>
    <x v="20"/>
    <x v="29"/>
    <n v="10"/>
    <n v="8.5375224109963282E-5"/>
  </r>
  <r>
    <x v="20"/>
    <x v="11"/>
    <n v="2"/>
    <n v="1.7075044821992656E-5"/>
  </r>
  <r>
    <x v="20"/>
    <x v="13"/>
    <n v="1"/>
    <n v="8.5375224109963282E-6"/>
  </r>
  <r>
    <x v="20"/>
    <x v="8"/>
    <n v="1"/>
    <n v="8.5375224109963282E-6"/>
  </r>
  <r>
    <x v="21"/>
    <x v="0"/>
    <n v="12842"/>
    <n v="0.75952211970664774"/>
  </r>
  <r>
    <x v="21"/>
    <x v="2"/>
    <n v="3716"/>
    <n v="0.21977762006150933"/>
  </r>
  <r>
    <x v="21"/>
    <x v="1"/>
    <n v="212"/>
    <n v="1.2538443340430565E-2"/>
  </r>
  <r>
    <x v="21"/>
    <x v="6"/>
    <n v="66"/>
    <n v="3.9034776437189495E-3"/>
  </r>
  <r>
    <x v="21"/>
    <x v="5"/>
    <n v="32"/>
    <n v="1.8925952211970665E-3"/>
  </r>
  <r>
    <x v="21"/>
    <x v="4"/>
    <n v="21"/>
    <n v="1.2420156139105749E-3"/>
  </r>
  <r>
    <x v="21"/>
    <x v="3"/>
    <n v="11"/>
    <n v="6.5057960728649158E-4"/>
  </r>
  <r>
    <x v="21"/>
    <x v="12"/>
    <n v="5"/>
    <n v="2.9571800331204166E-4"/>
  </r>
  <r>
    <x v="21"/>
    <x v="27"/>
    <n v="2"/>
    <n v="1.1828720132481665E-4"/>
  </r>
  <r>
    <x v="21"/>
    <x v="7"/>
    <n v="1"/>
    <n v="5.9143600662408327E-5"/>
  </r>
  <r>
    <x v="22"/>
    <x v="0"/>
    <n v="12791"/>
    <n v="0.57723723994765108"/>
  </r>
  <r>
    <x v="22"/>
    <x v="2"/>
    <n v="7122"/>
    <n v="0.32140439550521233"/>
  </r>
  <r>
    <x v="22"/>
    <x v="7"/>
    <n v="2113"/>
    <n v="9.5356288641184173E-2"/>
  </r>
  <r>
    <x v="22"/>
    <x v="1"/>
    <n v="129"/>
    <n v="5.8215623448711583E-3"/>
  </r>
  <r>
    <x v="22"/>
    <x v="5"/>
    <n v="2"/>
    <n v="9.0256780540638116E-5"/>
  </r>
  <r>
    <x v="22"/>
    <x v="11"/>
    <n v="1"/>
    <n v="4.5128390270319058E-5"/>
  </r>
  <r>
    <x v="22"/>
    <x v="9"/>
    <n v="1"/>
    <n v="4.5128390270319058E-5"/>
  </r>
  <r>
    <x v="23"/>
    <x v="0"/>
    <n v="24051"/>
    <n v="0.48808750710284926"/>
  </r>
  <r>
    <x v="23"/>
    <x v="7"/>
    <n v="9349"/>
    <n v="0.1897272505885218"/>
  </r>
  <r>
    <x v="23"/>
    <x v="2"/>
    <n v="7753"/>
    <n v="0.15733825797548504"/>
  </r>
  <r>
    <x v="23"/>
    <x v="1"/>
    <n v="4576"/>
    <n v="9.2864680574721969E-2"/>
  </r>
  <r>
    <x v="23"/>
    <x v="12"/>
    <n v="2320"/>
    <n v="4.708174364802338E-2"/>
  </r>
  <r>
    <x v="23"/>
    <x v="5"/>
    <n v="795"/>
    <n v="1.6133614741456286E-2"/>
  </r>
  <r>
    <x v="23"/>
    <x v="11"/>
    <n v="171"/>
    <n v="3.4702492085396542E-3"/>
  </r>
  <r>
    <x v="23"/>
    <x v="3"/>
    <n v="94"/>
    <n v="1.9076223719457748E-3"/>
  </r>
  <r>
    <x v="23"/>
    <x v="6"/>
    <n v="76"/>
    <n v="1.5423329815731797E-3"/>
  </r>
  <r>
    <x v="23"/>
    <x v="14"/>
    <n v="37"/>
    <n v="7.508726357658901E-4"/>
  </r>
  <r>
    <x v="23"/>
    <x v="22"/>
    <n v="19"/>
    <n v="3.8558324539329493E-4"/>
  </r>
  <r>
    <x v="23"/>
    <x v="8"/>
    <n v="18"/>
    <n v="3.6528939037259518E-4"/>
  </r>
  <r>
    <x v="23"/>
    <x v="9"/>
    <n v="11"/>
    <n v="2.2323240522769704E-4"/>
  </r>
  <r>
    <x v="23"/>
    <x v="4"/>
    <n v="5"/>
    <n v="1.0146927510349866E-4"/>
  </r>
  <r>
    <x v="23"/>
    <x v="28"/>
    <n v="1"/>
    <n v="2.0293855020699733E-5"/>
  </r>
  <r>
    <x v="24"/>
    <x v="0"/>
    <n v="32736"/>
    <n v="0.54736982911413568"/>
  </r>
  <r>
    <x v="24"/>
    <x v="5"/>
    <n v="8737"/>
    <n v="0.14608902116844463"/>
  </r>
  <r>
    <x v="24"/>
    <x v="0"/>
    <n v="7693"/>
    <n v="0.12863257867103636"/>
  </r>
  <r>
    <x v="24"/>
    <x v="1"/>
    <n v="2590"/>
    <n v="4.3306691636290674E-2"/>
  </r>
  <r>
    <x v="24"/>
    <x v="15"/>
    <n v="2073"/>
    <n v="3.4662074039394038E-2"/>
  </r>
  <r>
    <x v="24"/>
    <x v="2"/>
    <n v="1839"/>
    <n v="3.0749423134802528E-2"/>
  </r>
  <r>
    <x v="24"/>
    <x v="4"/>
    <n v="1675"/>
    <n v="2.800722335551617E-2"/>
  </r>
  <r>
    <x v="24"/>
    <x v="14"/>
    <n v="1017"/>
    <n v="1.7004982777647729E-2"/>
  </r>
  <r>
    <x v="24"/>
    <x v="8"/>
    <n v="603"/>
    <n v="1.0082600407985821E-2"/>
  </r>
  <r>
    <x v="24"/>
    <x v="31"/>
    <n v="443"/>
    <n v="7.4072835501454706E-3"/>
  </r>
  <r>
    <x v="24"/>
    <x v="7"/>
    <n v="391"/>
    <n v="6.5378055713473564E-3"/>
  </r>
  <r>
    <x v="24"/>
    <x v="10"/>
    <n v="5"/>
    <n v="8.3603651807510952E-5"/>
  </r>
  <r>
    <x v="24"/>
    <x v="29"/>
    <n v="2"/>
    <n v="3.3441460723004378E-5"/>
  </r>
  <r>
    <x v="24"/>
    <x v="11"/>
    <n v="2"/>
    <n v="3.3441460723004378E-5"/>
  </r>
  <r>
    <x v="25"/>
    <x v="5"/>
    <n v="3382"/>
    <n v="0.34869574182905455"/>
  </r>
  <r>
    <x v="25"/>
    <x v="4"/>
    <n v="3270"/>
    <n v="0.3371481596040829"/>
  </r>
  <r>
    <x v="25"/>
    <x v="0"/>
    <n v="2404"/>
    <n v="0.24786060418599856"/>
  </r>
  <r>
    <x v="25"/>
    <x v="1"/>
    <n v="222"/>
    <n v="2.2888957624497372E-2"/>
  </r>
  <r>
    <x v="25"/>
    <x v="15"/>
    <n v="220"/>
    <n v="2.2682750799051448E-2"/>
  </r>
  <r>
    <x v="25"/>
    <x v="3"/>
    <n v="59"/>
    <n v="6.0831013506547063E-3"/>
  </r>
  <r>
    <x v="25"/>
    <x v="8"/>
    <n v="44"/>
    <n v="4.5365501598102894E-3"/>
  </r>
  <r>
    <x v="25"/>
    <x v="6"/>
    <n v="43"/>
    <n v="4.4334467470873284E-3"/>
  </r>
  <r>
    <x v="25"/>
    <x v="14"/>
    <n v="22"/>
    <n v="2.2682750799051447E-3"/>
  </r>
  <r>
    <x v="25"/>
    <x v="31"/>
    <n v="19"/>
    <n v="1.9589648417362615E-3"/>
  </r>
  <r>
    <x v="25"/>
    <x v="2"/>
    <n v="12"/>
    <n v="1.2372409526755336E-3"/>
  </r>
  <r>
    <x v="25"/>
    <x v="11"/>
    <n v="1"/>
    <n v="1.0310341272296113E-4"/>
  </r>
  <r>
    <x v="25"/>
    <x v="10"/>
    <n v="1"/>
    <n v="1.0310341272296113E-4"/>
  </r>
  <r>
    <x v="26"/>
    <x v="0"/>
    <n v="10337"/>
    <n v="0.41549097632541498"/>
  </r>
  <r>
    <x v="26"/>
    <x v="13"/>
    <n v="9291"/>
    <n v="0.37344748583142412"/>
  </r>
  <r>
    <x v="26"/>
    <x v="7"/>
    <n v="4969"/>
    <n v="0.19972667711724748"/>
  </r>
  <r>
    <x v="26"/>
    <x v="2"/>
    <n v="233"/>
    <n v="9.3653281884320105E-3"/>
  </r>
  <r>
    <x v="26"/>
    <x v="1"/>
    <n v="43"/>
    <n v="1.7283652879938904E-3"/>
  </r>
  <r>
    <x v="26"/>
    <x v="10"/>
    <n v="3"/>
    <n v="1.205836247437598E-4"/>
  </r>
  <r>
    <x v="26"/>
    <x v="12"/>
    <n v="2"/>
    <n v="8.0389083162506536E-5"/>
  </r>
  <r>
    <x v="26"/>
    <x v="4"/>
    <n v="1"/>
    <n v="4.0194541581253268E-5"/>
  </r>
  <r>
    <x v="27"/>
    <x v="0"/>
    <n v="10107"/>
    <n v="0.43383268231961197"/>
  </r>
  <r>
    <x v="27"/>
    <x v="5"/>
    <n v="8582"/>
    <n v="0.36837361033609478"/>
  </r>
  <r>
    <x v="27"/>
    <x v="7"/>
    <n v="3652"/>
    <n v="0.15675838090741298"/>
  </r>
  <r>
    <x v="27"/>
    <x v="11"/>
    <n v="542"/>
    <n v="2.3264798042666436E-2"/>
  </r>
  <r>
    <x v="27"/>
    <x v="1"/>
    <n v="236"/>
    <n v="1.0130059664334464E-2"/>
  </r>
  <r>
    <x v="27"/>
    <x v="2"/>
    <n v="44"/>
    <n v="1.8886551916555781E-3"/>
  </r>
  <r>
    <x v="27"/>
    <x v="4"/>
    <n v="33"/>
    <n v="1.4164913937416835E-3"/>
  </r>
  <r>
    <x v="27"/>
    <x v="6"/>
    <n v="33"/>
    <n v="1.4164913937416835E-3"/>
  </r>
  <r>
    <x v="27"/>
    <x v="31"/>
    <n v="18"/>
    <n v="7.7263166931364549E-4"/>
  </r>
  <r>
    <x v="27"/>
    <x v="14"/>
    <n v="14"/>
    <n v="6.0093574279950206E-4"/>
  </r>
  <r>
    <x v="27"/>
    <x v="15"/>
    <n v="12"/>
    <n v="5.150877795424304E-4"/>
  </r>
  <r>
    <x v="27"/>
    <x v="9"/>
    <n v="10"/>
    <n v="4.2923981628535863E-4"/>
  </r>
  <r>
    <x v="27"/>
    <x v="3"/>
    <n v="8"/>
    <n v="3.4339185302828692E-4"/>
  </r>
  <r>
    <x v="27"/>
    <x v="10"/>
    <n v="3"/>
    <n v="1.287719448856076E-4"/>
  </r>
  <r>
    <x v="27"/>
    <x v="35"/>
    <n v="2"/>
    <n v="8.5847963257071729E-5"/>
  </r>
  <r>
    <x v="27"/>
    <x v="12"/>
    <n v="1"/>
    <n v="4.2923981628535864E-5"/>
  </r>
  <r>
    <x v="28"/>
    <x v="0"/>
    <n v="25380"/>
    <n v="0.89209138840070301"/>
  </r>
  <r>
    <x v="28"/>
    <x v="6"/>
    <n v="1467"/>
    <n v="5.1564147627416519E-2"/>
  </r>
  <r>
    <x v="28"/>
    <x v="4"/>
    <n v="639"/>
    <n v="2.2460456942003514E-2"/>
  </r>
  <r>
    <x v="28"/>
    <x v="2"/>
    <n v="458"/>
    <n v="1.6098418277680139E-2"/>
  </r>
  <r>
    <x v="28"/>
    <x v="3"/>
    <n v="217"/>
    <n v="7.6274165202108966E-3"/>
  </r>
  <r>
    <x v="28"/>
    <x v="16"/>
    <n v="119"/>
    <n v="4.1827768014059755E-3"/>
  </r>
  <r>
    <x v="28"/>
    <x v="32"/>
    <n v="75"/>
    <n v="2.6362038664323375E-3"/>
  </r>
  <r>
    <x v="28"/>
    <x v="1"/>
    <n v="49"/>
    <n v="1.7223198594024604E-3"/>
  </r>
  <r>
    <x v="28"/>
    <x v="28"/>
    <n v="28"/>
    <n v="9.8418277680140608E-4"/>
  </r>
  <r>
    <x v="28"/>
    <x v="9"/>
    <n v="13"/>
    <n v="4.5694200351493851E-4"/>
  </r>
  <r>
    <x v="28"/>
    <x v="7"/>
    <n v="3"/>
    <n v="1.0544815465729349E-4"/>
  </r>
  <r>
    <x v="28"/>
    <x v="29"/>
    <n v="1"/>
    <n v="3.51493848857645E-5"/>
  </r>
  <r>
    <x v="28"/>
    <x v="5"/>
    <n v="1"/>
    <n v="3.51493848857645E-5"/>
  </r>
  <r>
    <x v="29"/>
    <x v="0"/>
    <n v="76509"/>
    <n v="0.44102744424397189"/>
  </r>
  <r>
    <x v="29"/>
    <x v="7"/>
    <n v="55554"/>
    <n v="0.32023472581695767"/>
  </r>
  <r>
    <x v="29"/>
    <x v="12"/>
    <n v="36446"/>
    <n v="0.21008882919546459"/>
  </r>
  <r>
    <x v="29"/>
    <x v="2"/>
    <n v="4015"/>
    <n v="2.314401166711821E-2"/>
  </r>
  <r>
    <x v="29"/>
    <x v="1"/>
    <n v="461"/>
    <n v="2.6573821615296376E-3"/>
  </r>
  <r>
    <x v="29"/>
    <x v="5"/>
    <n v="257"/>
    <n v="1.4814473221542665E-3"/>
  </r>
  <r>
    <x v="29"/>
    <x v="11"/>
    <n v="93"/>
    <n v="5.3608794147994856E-4"/>
  </r>
  <r>
    <x v="29"/>
    <x v="10"/>
    <n v="44"/>
    <n v="2.5363300457115846E-4"/>
  </r>
  <r>
    <x v="29"/>
    <x v="28"/>
    <n v="41"/>
    <n v="2.3633984516857948E-4"/>
  </r>
  <r>
    <x v="29"/>
    <x v="9"/>
    <n v="26"/>
    <n v="1.4987404815568455E-4"/>
  </r>
  <r>
    <x v="29"/>
    <x v="14"/>
    <n v="9"/>
    <n v="5.1879478207736962E-5"/>
  </r>
  <r>
    <x v="29"/>
    <x v="4"/>
    <n v="8"/>
    <n v="4.6115091740210631E-5"/>
  </r>
  <r>
    <x v="29"/>
    <x v="3"/>
    <n v="7"/>
    <n v="4.03507052726843E-5"/>
  </r>
  <r>
    <x v="29"/>
    <x v="29"/>
    <n v="4"/>
    <n v="2.3057545870105315E-5"/>
  </r>
  <r>
    <x v="29"/>
    <x v="13"/>
    <n v="2"/>
    <n v="1.1528772935052658E-5"/>
  </r>
  <r>
    <x v="29"/>
    <x v="15"/>
    <n v="2"/>
    <n v="1.1528772935052658E-5"/>
  </r>
  <r>
    <x v="29"/>
    <x v="6"/>
    <n v="1"/>
    <n v="5.7643864675263289E-6"/>
  </r>
  <r>
    <x v="30"/>
    <x v="0"/>
    <n v="23257"/>
    <n v="0.91469362070321714"/>
  </r>
  <r>
    <x v="30"/>
    <x v="2"/>
    <n v="2086"/>
    <n v="8.2042004247620551E-2"/>
  </r>
  <r>
    <x v="30"/>
    <x v="11"/>
    <n v="34"/>
    <n v="1.33721387556045E-3"/>
  </r>
  <r>
    <x v="30"/>
    <x v="1"/>
    <n v="24"/>
    <n v="9.4391567686619995E-4"/>
  </r>
  <r>
    <x v="30"/>
    <x v="9"/>
    <n v="20"/>
    <n v="7.8659639738850001E-4"/>
  </r>
  <r>
    <x v="30"/>
    <x v="4"/>
    <n v="2"/>
    <n v="7.8659639738849996E-5"/>
  </r>
  <r>
    <x v="30"/>
    <x v="10"/>
    <n v="2"/>
    <n v="7.8659639738849996E-5"/>
  </r>
  <r>
    <x v="30"/>
    <x v="5"/>
    <n v="1"/>
    <n v="3.9329819869424998E-5"/>
  </r>
  <r>
    <x v="31"/>
    <x v="1"/>
    <n v="55296"/>
    <n v="0.67703308274359042"/>
  </r>
  <r>
    <x v="31"/>
    <x v="0"/>
    <n v="22166"/>
    <n v="0.27139603790680022"/>
  </r>
  <r>
    <x v="31"/>
    <x v="3"/>
    <n v="2241"/>
    <n v="2.743835247447168E-2"/>
  </r>
  <r>
    <x v="31"/>
    <x v="2"/>
    <n v="1540"/>
    <n v="1.8855449714719495E-2"/>
  </r>
  <r>
    <x v="31"/>
    <x v="5"/>
    <n v="152"/>
    <n v="1.8610573744398463E-3"/>
  </r>
  <r>
    <x v="31"/>
    <x v="6"/>
    <n v="114"/>
    <n v="1.3957930308298846E-3"/>
  </r>
  <r>
    <x v="31"/>
    <x v="4"/>
    <n v="90"/>
    <n v="1.1019418664446458E-3"/>
  </r>
  <r>
    <x v="31"/>
    <x v="9"/>
    <n v="46"/>
    <n v="5.6321473173837446E-4"/>
  </r>
  <r>
    <x v="31"/>
    <x v="27"/>
    <n v="26"/>
    <n v="3.1833876141734214E-4"/>
  </r>
  <r>
    <x v="31"/>
    <x v="11"/>
    <n v="1"/>
    <n v="1.224379851605162E-5"/>
  </r>
  <r>
    <x v="31"/>
    <x v="12"/>
    <n v="1"/>
    <n v="1.224379851605162E-5"/>
  </r>
  <r>
    <x v="31"/>
    <x v="8"/>
    <n v="1"/>
    <n v="1.224379851605162E-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6F491D-2C75-4634-8D9C-FEDBE89CA24A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389" firstHeaderRow="0" firstDataRow="1" firstDataCol="2"/>
  <pivotFields count="4">
    <pivotField axis="axisRow" compact="0" outline="0" showAll="0" defaultSubtota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36">
        <item x="15"/>
        <item x="17"/>
        <item x="16"/>
        <item x="10"/>
        <item x="29"/>
        <item x="3"/>
        <item x="14"/>
        <item x="13"/>
        <item x="12"/>
        <item x="9"/>
        <item x="35"/>
        <item x="7"/>
        <item x="31"/>
        <item x="6"/>
        <item x="26"/>
        <item x="27"/>
        <item x="21"/>
        <item x="34"/>
        <item x="1"/>
        <item x="8"/>
        <item x="22"/>
        <item x="28"/>
        <item x="24"/>
        <item x="32"/>
        <item x="30"/>
        <item x="0"/>
        <item x="33"/>
        <item x="19"/>
        <item x="2"/>
        <item x="25"/>
        <item x="20"/>
        <item x="18"/>
        <item x="5"/>
        <item x="11"/>
        <item x="4"/>
        <item x="2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86">
    <i>
      <x/>
      <x v="25"/>
    </i>
    <i r="1">
      <x v="18"/>
    </i>
    <i r="1">
      <x v="28"/>
    </i>
    <i r="1">
      <x v="5"/>
    </i>
    <i r="1">
      <x v="34"/>
    </i>
    <i r="1">
      <x v="32"/>
    </i>
    <i>
      <x v="1"/>
      <x v="34"/>
    </i>
    <i r="1">
      <x v="25"/>
    </i>
    <i r="1">
      <x v="13"/>
    </i>
    <i r="1">
      <x v="18"/>
    </i>
    <i r="1">
      <x v="5"/>
    </i>
    <i r="1">
      <x v="32"/>
    </i>
    <i r="1">
      <x v="28"/>
    </i>
    <i>
      <x v="2"/>
      <x v="25"/>
    </i>
    <i r="1">
      <x v="34"/>
    </i>
    <i r="1">
      <x v="18"/>
    </i>
    <i r="1">
      <x v="32"/>
    </i>
    <i r="1">
      <x v="11"/>
    </i>
    <i r="1">
      <x v="19"/>
    </i>
    <i r="1">
      <x v="28"/>
    </i>
    <i r="1">
      <x v="5"/>
    </i>
    <i>
      <x v="3"/>
      <x v="25"/>
    </i>
    <i r="1">
      <x v="11"/>
    </i>
    <i r="1">
      <x v="28"/>
    </i>
    <i r="1">
      <x v="9"/>
    </i>
    <i r="1">
      <x v="3"/>
    </i>
    <i r="1">
      <x v="18"/>
    </i>
    <i r="1">
      <x v="33"/>
    </i>
    <i r="1">
      <x v="32"/>
    </i>
    <i r="1">
      <x v="34"/>
    </i>
    <i>
      <x v="4"/>
      <x v="25"/>
    </i>
    <i r="1">
      <x v="8"/>
    </i>
    <i r="1">
      <x v="28"/>
    </i>
    <i r="1">
      <x v="11"/>
    </i>
    <i r="1">
      <x v="7"/>
    </i>
    <i r="1">
      <x v="18"/>
    </i>
    <i r="1">
      <x v="6"/>
    </i>
    <i r="1">
      <x v="33"/>
    </i>
    <i r="1">
      <x v="32"/>
    </i>
    <i r="1">
      <x v="34"/>
    </i>
    <i r="1">
      <x/>
    </i>
    <i r="1">
      <x v="3"/>
    </i>
    <i r="1">
      <x v="9"/>
    </i>
    <i>
      <x v="5"/>
      <x v="25"/>
    </i>
    <i r="1">
      <x v="28"/>
    </i>
    <i r="1">
      <x v="18"/>
    </i>
    <i r="1">
      <x v="5"/>
    </i>
    <i r="1">
      <x v="32"/>
    </i>
    <i r="1">
      <x v="34"/>
    </i>
    <i r="1">
      <x v="6"/>
    </i>
    <i r="1">
      <x v="13"/>
    </i>
    <i>
      <x v="6"/>
      <x v="25"/>
    </i>
    <i r="1">
      <x v="28"/>
    </i>
    <i r="1">
      <x v="2"/>
    </i>
    <i r="1">
      <x v="18"/>
    </i>
    <i r="1">
      <x v="5"/>
    </i>
    <i r="1">
      <x v="34"/>
    </i>
    <i>
      <x v="7"/>
      <x v="25"/>
    </i>
    <i r="1">
      <x v="18"/>
    </i>
    <i r="1">
      <x v="32"/>
    </i>
    <i r="1">
      <x v="1"/>
    </i>
    <i r="1">
      <x v="31"/>
    </i>
    <i r="1">
      <x v="5"/>
    </i>
    <i r="1">
      <x v="27"/>
    </i>
    <i r="1">
      <x v="34"/>
    </i>
    <i r="1">
      <x v="30"/>
    </i>
    <i r="1">
      <x v="16"/>
    </i>
    <i r="1">
      <x v="13"/>
    </i>
    <i r="1">
      <x v="20"/>
    </i>
    <i r="1">
      <x v="35"/>
    </i>
    <i r="1">
      <x v="22"/>
    </i>
    <i r="1">
      <x v="3"/>
    </i>
    <i r="1">
      <x v="29"/>
    </i>
    <i r="1">
      <x v="9"/>
    </i>
    <i r="1">
      <x v="14"/>
    </i>
    <i r="1">
      <x v="33"/>
    </i>
    <i>
      <x v="8"/>
      <x v="25"/>
    </i>
    <i r="1">
      <x v="11"/>
    </i>
    <i r="1">
      <x v="3"/>
    </i>
    <i r="1">
      <x v="8"/>
    </i>
    <i r="1">
      <x v="32"/>
    </i>
    <i r="1">
      <x v="28"/>
    </i>
    <i r="1">
      <x v="18"/>
    </i>
    <i r="1">
      <x v="6"/>
    </i>
    <i>
      <x v="9"/>
      <x v="18"/>
    </i>
    <i r="1">
      <x v="25"/>
    </i>
    <i r="1">
      <x v="5"/>
    </i>
    <i r="1">
      <x v="28"/>
    </i>
    <i r="1">
      <x v="32"/>
    </i>
    <i r="1">
      <x v="34"/>
    </i>
    <i r="1">
      <x v="13"/>
    </i>
    <i r="1">
      <x v="6"/>
    </i>
    <i>
      <x v="10"/>
      <x v="25"/>
    </i>
    <i r="1">
      <x v="28"/>
    </i>
    <i r="1">
      <x v="32"/>
    </i>
    <i r="1">
      <x v="18"/>
    </i>
    <i r="1">
      <x v="34"/>
    </i>
    <i r="1">
      <x v="13"/>
    </i>
    <i r="1">
      <x v="19"/>
    </i>
    <i r="1">
      <x v="5"/>
    </i>
    <i r="1">
      <x v="6"/>
    </i>
    <i r="1">
      <x v="15"/>
    </i>
    <i r="1">
      <x v="21"/>
    </i>
    <i r="1">
      <x v="33"/>
    </i>
    <i r="1">
      <x v="20"/>
    </i>
    <i r="1">
      <x v="9"/>
    </i>
    <i>
      <x v="11"/>
      <x v="25"/>
    </i>
    <i r="1">
      <x v="28"/>
    </i>
    <i r="1">
      <x v="18"/>
    </i>
    <i r="1">
      <x v="8"/>
    </i>
    <i r="1">
      <x v="3"/>
    </i>
    <i r="1">
      <x v="7"/>
    </i>
    <i r="1">
      <x v="32"/>
    </i>
    <i r="1">
      <x/>
    </i>
    <i r="1">
      <x v="34"/>
    </i>
    <i r="1">
      <x v="6"/>
    </i>
    <i r="1">
      <x v="11"/>
    </i>
    <i r="1">
      <x v="9"/>
    </i>
    <i r="1">
      <x v="33"/>
    </i>
    <i>
      <x v="12"/>
      <x v="25"/>
    </i>
    <i r="1">
      <x v="28"/>
    </i>
    <i r="1">
      <x v="13"/>
    </i>
    <i r="1">
      <x v="8"/>
    </i>
    <i r="1">
      <x v="5"/>
    </i>
    <i r="1">
      <x v="18"/>
    </i>
    <i r="1">
      <x v="11"/>
    </i>
    <i r="1">
      <x v="34"/>
    </i>
    <i r="1">
      <x v="2"/>
    </i>
    <i r="1">
      <x v="21"/>
    </i>
    <i r="1">
      <x v="32"/>
    </i>
    <i r="1">
      <x v="20"/>
    </i>
    <i r="1">
      <x/>
    </i>
    <i r="1">
      <x v="6"/>
    </i>
    <i r="1">
      <x v="3"/>
    </i>
    <i>
      <x v="13"/>
      <x v="25"/>
    </i>
    <i r="1">
      <x v="11"/>
    </i>
    <i r="1">
      <x v="28"/>
    </i>
    <i r="1">
      <x v="32"/>
    </i>
    <i r="1">
      <x v="18"/>
    </i>
    <i r="1">
      <x v="8"/>
    </i>
    <i r="1">
      <x v="15"/>
    </i>
    <i r="1">
      <x v="34"/>
    </i>
    <i r="1">
      <x v="5"/>
    </i>
    <i r="1">
      <x v="6"/>
    </i>
    <i r="1">
      <x/>
    </i>
    <i r="1">
      <x v="3"/>
    </i>
    <i r="1">
      <x v="9"/>
    </i>
    <i r="1">
      <x v="13"/>
    </i>
    <i r="1">
      <x v="19"/>
    </i>
    <i r="1">
      <x v="7"/>
    </i>
    <i>
      <x v="14"/>
      <x v="25"/>
    </i>
    <i r="1">
      <x v="5"/>
    </i>
    <i r="1">
      <x v="13"/>
    </i>
    <i r="1">
      <x v="18"/>
    </i>
    <i r="1">
      <x v="28"/>
    </i>
    <i r="1">
      <x v="34"/>
    </i>
    <i r="1">
      <x v="29"/>
    </i>
    <i r="1">
      <x v="8"/>
    </i>
    <i r="1">
      <x v="21"/>
    </i>
    <i r="1">
      <x v="11"/>
    </i>
    <i r="1">
      <x v="2"/>
    </i>
    <i r="1">
      <x v="9"/>
    </i>
    <i r="1">
      <x v="6"/>
    </i>
    <i r="1">
      <x v="32"/>
    </i>
    <i r="1">
      <x v="3"/>
    </i>
    <i r="1">
      <x v="15"/>
    </i>
    <i r="1">
      <x v="20"/>
    </i>
    <i r="1">
      <x v="4"/>
    </i>
    <i>
      <x v="15"/>
      <x v="25"/>
    </i>
    <i r="1">
      <x v="11"/>
    </i>
    <i r="1">
      <x v="28"/>
    </i>
    <i r="1">
      <x v="32"/>
    </i>
    <i r="1">
      <x v="34"/>
    </i>
    <i r="1">
      <x v="5"/>
    </i>
    <i r="1">
      <x v="19"/>
    </i>
    <i r="1">
      <x v="18"/>
    </i>
    <i r="1">
      <x/>
    </i>
    <i r="1">
      <x v="3"/>
    </i>
    <i r="1">
      <x v="24"/>
    </i>
    <i r="1">
      <x v="13"/>
    </i>
    <i r="1">
      <x v="8"/>
    </i>
    <i r="1">
      <x v="12"/>
    </i>
    <i r="1">
      <x v="21"/>
    </i>
    <i r="1">
      <x v="9"/>
    </i>
    <i r="1">
      <x v="20"/>
    </i>
    <i r="1">
      <x v="6"/>
    </i>
    <i r="1">
      <x v="15"/>
    </i>
    <i>
      <x v="16"/>
      <x v="25"/>
    </i>
    <i r="1">
      <x v="11"/>
    </i>
    <i r="1">
      <x v="32"/>
    </i>
    <i r="1">
      <x v="3"/>
    </i>
    <i r="1">
      <x v="5"/>
    </i>
    <i r="1">
      <x v="18"/>
    </i>
    <i r="1">
      <x v="34"/>
    </i>
    <i r="1">
      <x v="6"/>
    </i>
    <i r="1">
      <x v="28"/>
    </i>
    <i r="1">
      <x v="21"/>
    </i>
    <i r="1">
      <x v="2"/>
    </i>
    <i>
      <x v="17"/>
      <x v="25"/>
    </i>
    <i r="1">
      <x v="18"/>
    </i>
    <i r="1">
      <x v="11"/>
    </i>
    <i r="1">
      <x v="32"/>
    </i>
    <i r="1">
      <x v="8"/>
    </i>
    <i r="1">
      <x v="3"/>
    </i>
    <i r="1">
      <x v="28"/>
    </i>
    <i r="1">
      <x v="6"/>
    </i>
    <i r="1">
      <x v="34"/>
    </i>
    <i r="1">
      <x v="9"/>
    </i>
    <i r="1">
      <x/>
    </i>
    <i r="1">
      <x v="33"/>
    </i>
    <i r="1">
      <x v="19"/>
    </i>
    <i>
      <x v="18"/>
      <x v="25"/>
    </i>
    <i r="1">
      <x v="34"/>
    </i>
    <i r="1">
      <x v="32"/>
    </i>
    <i r="1">
      <x v="28"/>
    </i>
    <i r="1">
      <x v="18"/>
    </i>
    <i r="1">
      <x v="5"/>
    </i>
    <i r="1">
      <x v="33"/>
    </i>
    <i>
      <x v="19"/>
      <x v="25"/>
    </i>
    <i r="1">
      <x v="28"/>
    </i>
    <i r="1">
      <x v="8"/>
    </i>
    <i r="1">
      <x v="11"/>
    </i>
    <i r="1">
      <x v="32"/>
    </i>
    <i r="1">
      <x v="18"/>
    </i>
    <i r="1">
      <x v="34"/>
    </i>
    <i r="1">
      <x v="7"/>
    </i>
    <i r="1">
      <x/>
    </i>
    <i r="1">
      <x v="6"/>
    </i>
    <i r="1">
      <x v="2"/>
    </i>
    <i r="1">
      <x v="33"/>
    </i>
    <i r="1">
      <x v="3"/>
    </i>
    <i r="1">
      <x v="9"/>
    </i>
    <i r="1">
      <x v="20"/>
    </i>
    <i>
      <x v="20"/>
      <x v="25"/>
    </i>
    <i r="1">
      <x v="8"/>
    </i>
    <i r="1">
      <x v="11"/>
    </i>
    <i r="1">
      <x v="28"/>
    </i>
    <i r="1">
      <x v="18"/>
    </i>
    <i r="1">
      <x v="32"/>
    </i>
    <i r="1">
      <x v="23"/>
    </i>
    <i r="1">
      <x v="13"/>
    </i>
    <i r="1">
      <x v="2"/>
    </i>
    <i r="1">
      <x v="26"/>
    </i>
    <i r="1">
      <x v="21"/>
    </i>
    <i r="1">
      <x v="5"/>
    </i>
    <i r="1">
      <x v="6"/>
    </i>
    <i r="1">
      <x v="34"/>
    </i>
    <i r="1">
      <x v="15"/>
    </i>
    <i r="1">
      <x v="17"/>
    </i>
    <i r="1">
      <x v="4"/>
    </i>
    <i r="1">
      <x v="33"/>
    </i>
    <i r="1">
      <x v="7"/>
    </i>
    <i r="1">
      <x v="19"/>
    </i>
    <i>
      <x v="21"/>
      <x v="25"/>
    </i>
    <i r="1">
      <x v="28"/>
    </i>
    <i r="1">
      <x v="18"/>
    </i>
    <i r="1">
      <x v="13"/>
    </i>
    <i r="1">
      <x v="32"/>
    </i>
    <i r="1">
      <x v="34"/>
    </i>
    <i r="1">
      <x v="5"/>
    </i>
    <i r="1">
      <x v="8"/>
    </i>
    <i r="1">
      <x v="15"/>
    </i>
    <i r="1">
      <x v="11"/>
    </i>
    <i>
      <x v="22"/>
      <x v="25"/>
    </i>
    <i r="1">
      <x v="28"/>
    </i>
    <i r="1">
      <x v="11"/>
    </i>
    <i r="1">
      <x v="18"/>
    </i>
    <i r="1">
      <x v="32"/>
    </i>
    <i r="1">
      <x v="33"/>
    </i>
    <i r="1">
      <x v="9"/>
    </i>
    <i>
      <x v="23"/>
      <x v="25"/>
    </i>
    <i r="1">
      <x v="11"/>
    </i>
    <i r="1">
      <x v="28"/>
    </i>
    <i r="1">
      <x v="18"/>
    </i>
    <i r="1">
      <x v="8"/>
    </i>
    <i r="1">
      <x v="32"/>
    </i>
    <i r="1">
      <x v="33"/>
    </i>
    <i r="1">
      <x v="5"/>
    </i>
    <i r="1">
      <x v="13"/>
    </i>
    <i r="1">
      <x v="6"/>
    </i>
    <i r="1">
      <x v="20"/>
    </i>
    <i r="1">
      <x v="19"/>
    </i>
    <i r="1">
      <x v="9"/>
    </i>
    <i r="1">
      <x v="34"/>
    </i>
    <i r="1">
      <x v="21"/>
    </i>
    <i>
      <x v="24"/>
      <x v="25"/>
    </i>
    <i r="1">
      <x v="32"/>
    </i>
    <i r="1">
      <x v="18"/>
    </i>
    <i r="1">
      <x/>
    </i>
    <i r="1">
      <x v="28"/>
    </i>
    <i r="1">
      <x v="34"/>
    </i>
    <i r="1">
      <x v="6"/>
    </i>
    <i r="1">
      <x v="19"/>
    </i>
    <i r="1">
      <x v="12"/>
    </i>
    <i r="1">
      <x v="11"/>
    </i>
    <i r="1">
      <x v="3"/>
    </i>
    <i r="1">
      <x v="33"/>
    </i>
    <i r="1">
      <x v="4"/>
    </i>
    <i>
      <x v="25"/>
      <x v="32"/>
    </i>
    <i r="1">
      <x v="34"/>
    </i>
    <i r="1">
      <x v="25"/>
    </i>
    <i r="1">
      <x v="18"/>
    </i>
    <i r="1">
      <x/>
    </i>
    <i r="1">
      <x v="5"/>
    </i>
    <i r="1">
      <x v="19"/>
    </i>
    <i r="1">
      <x v="13"/>
    </i>
    <i r="1">
      <x v="6"/>
    </i>
    <i r="1">
      <x v="12"/>
    </i>
    <i r="1">
      <x v="28"/>
    </i>
    <i r="1">
      <x v="33"/>
    </i>
    <i r="1">
      <x v="3"/>
    </i>
    <i>
      <x v="26"/>
      <x v="25"/>
    </i>
    <i r="1">
      <x v="7"/>
    </i>
    <i r="1">
      <x v="11"/>
    </i>
    <i r="1">
      <x v="28"/>
    </i>
    <i r="1">
      <x v="18"/>
    </i>
    <i r="1">
      <x v="3"/>
    </i>
    <i r="1">
      <x v="8"/>
    </i>
    <i r="1">
      <x v="34"/>
    </i>
    <i>
      <x v="27"/>
      <x v="25"/>
    </i>
    <i r="1">
      <x v="32"/>
    </i>
    <i r="1">
      <x v="11"/>
    </i>
    <i r="1">
      <x v="33"/>
    </i>
    <i r="1">
      <x v="18"/>
    </i>
    <i r="1">
      <x v="28"/>
    </i>
    <i r="1">
      <x v="34"/>
    </i>
    <i r="1">
      <x v="13"/>
    </i>
    <i r="1">
      <x v="12"/>
    </i>
    <i r="1">
      <x v="6"/>
    </i>
    <i r="1">
      <x/>
    </i>
    <i r="1">
      <x v="9"/>
    </i>
    <i r="1">
      <x v="5"/>
    </i>
    <i r="1">
      <x v="3"/>
    </i>
    <i r="1">
      <x v="10"/>
    </i>
    <i r="1">
      <x v="8"/>
    </i>
    <i>
      <x v="28"/>
      <x v="25"/>
    </i>
    <i r="1">
      <x v="13"/>
    </i>
    <i r="1">
      <x v="34"/>
    </i>
    <i r="1">
      <x v="28"/>
    </i>
    <i r="1">
      <x v="5"/>
    </i>
    <i r="1">
      <x v="2"/>
    </i>
    <i r="1">
      <x v="23"/>
    </i>
    <i r="1">
      <x v="18"/>
    </i>
    <i r="1">
      <x v="21"/>
    </i>
    <i r="1">
      <x v="9"/>
    </i>
    <i r="1">
      <x v="11"/>
    </i>
    <i r="1">
      <x v="4"/>
    </i>
    <i r="1">
      <x v="32"/>
    </i>
    <i>
      <x v="29"/>
      <x v="25"/>
    </i>
    <i r="1">
      <x v="11"/>
    </i>
    <i r="1">
      <x v="8"/>
    </i>
    <i r="1">
      <x v="28"/>
    </i>
    <i r="1">
      <x v="18"/>
    </i>
    <i r="1">
      <x v="32"/>
    </i>
    <i r="1">
      <x v="33"/>
    </i>
    <i r="1">
      <x v="3"/>
    </i>
    <i r="1">
      <x v="21"/>
    </i>
    <i r="1">
      <x v="9"/>
    </i>
    <i r="1">
      <x v="6"/>
    </i>
    <i r="1">
      <x v="34"/>
    </i>
    <i r="1">
      <x v="5"/>
    </i>
    <i r="1">
      <x v="4"/>
    </i>
    <i r="1">
      <x v="7"/>
    </i>
    <i r="1">
      <x/>
    </i>
    <i r="1">
      <x v="13"/>
    </i>
    <i>
      <x v="30"/>
      <x v="25"/>
    </i>
    <i r="1">
      <x v="28"/>
    </i>
    <i r="1">
      <x v="33"/>
    </i>
    <i r="1">
      <x v="18"/>
    </i>
    <i r="1">
      <x v="9"/>
    </i>
    <i r="1">
      <x v="34"/>
    </i>
    <i r="1">
      <x v="3"/>
    </i>
    <i r="1">
      <x v="32"/>
    </i>
    <i>
      <x v="31"/>
      <x v="18"/>
    </i>
    <i r="1">
      <x v="25"/>
    </i>
    <i r="1">
      <x v="5"/>
    </i>
    <i r="1">
      <x v="28"/>
    </i>
    <i r="1">
      <x v="32"/>
    </i>
    <i r="1">
      <x v="13"/>
    </i>
    <i r="1">
      <x v="34"/>
    </i>
    <i r="1">
      <x v="9"/>
    </i>
    <i r="1">
      <x v="15"/>
    </i>
    <i r="1">
      <x v="33"/>
    </i>
    <i r="1">
      <x v="8"/>
    </i>
    <i r="1"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oductores" fld="2" baseField="0" baseItem="0" numFmtId="3"/>
    <dataField name="Suma de Productores2" fld="2" baseField="0" baseItem="0" numFmtId="9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77">
    <format dxfId="76">
      <pivotArea field="0" type="button" dataOnly="0" labelOnly="1" outline="0" axis="axisRow" fieldPosition="0"/>
    </format>
    <format dxfId="75">
      <pivotArea dataOnly="0" labelOnly="1" fieldPosition="0">
        <references count="1">
          <reference field="0" count="0"/>
        </references>
      </pivotArea>
    </format>
    <format dxfId="74">
      <pivotArea dataOnly="0" labelOnly="1" grandRow="1" outline="0" fieldPosition="0"/>
    </format>
    <format dxfId="73">
      <pivotArea dataOnly="0" labelOnly="1" fieldPosition="0">
        <references count="2">
          <reference field="0" count="1" selected="0">
            <x v="0"/>
          </reference>
          <reference field="1" count="6">
            <x v="5"/>
            <x v="18"/>
            <x v="25"/>
            <x v="28"/>
            <x v="32"/>
            <x v="34"/>
          </reference>
        </references>
      </pivotArea>
    </format>
    <format dxfId="72">
      <pivotArea dataOnly="0" labelOnly="1" fieldPosition="0">
        <references count="2">
          <reference field="0" count="1" selected="0">
            <x v="1"/>
          </reference>
          <reference field="1" count="7">
            <x v="5"/>
            <x v="13"/>
            <x v="18"/>
            <x v="25"/>
            <x v="28"/>
            <x v="32"/>
            <x v="34"/>
          </reference>
        </references>
      </pivotArea>
    </format>
    <format dxfId="71">
      <pivotArea dataOnly="0" labelOnly="1" fieldPosition="0">
        <references count="2">
          <reference field="0" count="1" selected="0">
            <x v="2"/>
          </reference>
          <reference field="1" count="8">
            <x v="5"/>
            <x v="11"/>
            <x v="18"/>
            <x v="19"/>
            <x v="25"/>
            <x v="28"/>
            <x v="32"/>
            <x v="34"/>
          </reference>
        </references>
      </pivotArea>
    </format>
    <format dxfId="70">
      <pivotArea dataOnly="0" labelOnly="1" fieldPosition="0">
        <references count="2">
          <reference field="0" count="1" selected="0">
            <x v="3"/>
          </reference>
          <reference field="1" count="9">
            <x v="3"/>
            <x v="9"/>
            <x v="11"/>
            <x v="18"/>
            <x v="25"/>
            <x v="28"/>
            <x v="32"/>
            <x v="33"/>
            <x v="34"/>
          </reference>
        </references>
      </pivotArea>
    </format>
    <format dxfId="69">
      <pivotArea dataOnly="0" labelOnly="1" fieldPosition="0">
        <references count="2">
          <reference field="0" count="1" selected="0">
            <x v="4"/>
          </reference>
          <reference field="1" count="13">
            <x v="0"/>
            <x v="3"/>
            <x v="6"/>
            <x v="7"/>
            <x v="8"/>
            <x v="9"/>
            <x v="11"/>
            <x v="18"/>
            <x v="25"/>
            <x v="28"/>
            <x v="32"/>
            <x v="33"/>
            <x v="34"/>
          </reference>
        </references>
      </pivotArea>
    </format>
    <format dxfId="68">
      <pivotArea dataOnly="0" labelOnly="1" fieldPosition="0">
        <references count="2">
          <reference field="0" count="1" selected="0">
            <x v="5"/>
          </reference>
          <reference field="1" count="8">
            <x v="5"/>
            <x v="6"/>
            <x v="13"/>
            <x v="18"/>
            <x v="25"/>
            <x v="28"/>
            <x v="32"/>
            <x v="34"/>
          </reference>
        </references>
      </pivotArea>
    </format>
    <format dxfId="67">
      <pivotArea dataOnly="0" labelOnly="1" fieldPosition="0">
        <references count="2">
          <reference field="0" count="1" selected="0">
            <x v="6"/>
          </reference>
          <reference field="1" count="6">
            <x v="2"/>
            <x v="5"/>
            <x v="18"/>
            <x v="25"/>
            <x v="28"/>
            <x v="34"/>
          </reference>
        </references>
      </pivotArea>
    </format>
    <format dxfId="66">
      <pivotArea dataOnly="0" labelOnly="1" fieldPosition="0">
        <references count="2">
          <reference field="0" count="1" selected="0">
            <x v="7"/>
          </reference>
          <reference field="1" count="19">
            <x v="1"/>
            <x v="3"/>
            <x v="5"/>
            <x v="9"/>
            <x v="13"/>
            <x v="14"/>
            <x v="16"/>
            <x v="18"/>
            <x v="20"/>
            <x v="22"/>
            <x v="25"/>
            <x v="27"/>
            <x v="29"/>
            <x v="30"/>
            <x v="31"/>
            <x v="32"/>
            <x v="33"/>
            <x v="34"/>
            <x v="35"/>
          </reference>
        </references>
      </pivotArea>
    </format>
    <format dxfId="65">
      <pivotArea dataOnly="0" labelOnly="1" fieldPosition="0">
        <references count="2">
          <reference field="0" count="1" selected="0">
            <x v="8"/>
          </reference>
          <reference field="1" count="8">
            <x v="3"/>
            <x v="6"/>
            <x v="8"/>
            <x v="11"/>
            <x v="18"/>
            <x v="25"/>
            <x v="28"/>
            <x v="32"/>
          </reference>
        </references>
      </pivotArea>
    </format>
    <format dxfId="64">
      <pivotArea dataOnly="0" labelOnly="1" fieldPosition="0">
        <references count="2">
          <reference field="0" count="1" selected="0">
            <x v="9"/>
          </reference>
          <reference field="1" count="8">
            <x v="5"/>
            <x v="6"/>
            <x v="13"/>
            <x v="18"/>
            <x v="25"/>
            <x v="28"/>
            <x v="32"/>
            <x v="34"/>
          </reference>
        </references>
      </pivotArea>
    </format>
    <format dxfId="63">
      <pivotArea dataOnly="0" labelOnly="1" fieldPosition="0">
        <references count="2">
          <reference field="0" count="1" selected="0">
            <x v="10"/>
          </reference>
          <reference field="1" count="14">
            <x v="5"/>
            <x v="6"/>
            <x v="9"/>
            <x v="13"/>
            <x v="15"/>
            <x v="18"/>
            <x v="19"/>
            <x v="20"/>
            <x v="21"/>
            <x v="25"/>
            <x v="28"/>
            <x v="32"/>
            <x v="33"/>
            <x v="34"/>
          </reference>
        </references>
      </pivotArea>
    </format>
    <format dxfId="62">
      <pivotArea dataOnly="0" labelOnly="1" fieldPosition="0">
        <references count="2">
          <reference field="0" count="1" selected="0">
            <x v="11"/>
          </reference>
          <reference field="1" count="13">
            <x v="0"/>
            <x v="3"/>
            <x v="6"/>
            <x v="7"/>
            <x v="8"/>
            <x v="9"/>
            <x v="11"/>
            <x v="18"/>
            <x v="25"/>
            <x v="28"/>
            <x v="32"/>
            <x v="33"/>
            <x v="34"/>
          </reference>
        </references>
      </pivotArea>
    </format>
    <format dxfId="61">
      <pivotArea dataOnly="0" labelOnly="1" fieldPosition="0">
        <references count="2">
          <reference field="0" count="1" selected="0">
            <x v="12"/>
          </reference>
          <reference field="1" count="15">
            <x v="0"/>
            <x v="2"/>
            <x v="3"/>
            <x v="5"/>
            <x v="6"/>
            <x v="8"/>
            <x v="11"/>
            <x v="13"/>
            <x v="18"/>
            <x v="20"/>
            <x v="21"/>
            <x v="25"/>
            <x v="28"/>
            <x v="32"/>
            <x v="34"/>
          </reference>
        </references>
      </pivotArea>
    </format>
    <format dxfId="60">
      <pivotArea dataOnly="0" labelOnly="1" fieldPosition="0">
        <references count="2">
          <reference field="0" count="1" selected="0">
            <x v="13"/>
          </reference>
          <reference field="1" count="16">
            <x v="0"/>
            <x v="3"/>
            <x v="5"/>
            <x v="6"/>
            <x v="7"/>
            <x v="8"/>
            <x v="9"/>
            <x v="11"/>
            <x v="13"/>
            <x v="15"/>
            <x v="18"/>
            <x v="19"/>
            <x v="25"/>
            <x v="28"/>
            <x v="32"/>
            <x v="34"/>
          </reference>
        </references>
      </pivotArea>
    </format>
    <format dxfId="59">
      <pivotArea dataOnly="0" labelOnly="1" fieldPosition="0">
        <references count="2">
          <reference field="0" count="1" selected="0">
            <x v="14"/>
          </reference>
          <reference field="1" count="18">
            <x v="2"/>
            <x v="3"/>
            <x v="4"/>
            <x v="5"/>
            <x v="6"/>
            <x v="8"/>
            <x v="9"/>
            <x v="11"/>
            <x v="13"/>
            <x v="15"/>
            <x v="18"/>
            <x v="20"/>
            <x v="21"/>
            <x v="25"/>
            <x v="28"/>
            <x v="29"/>
            <x v="32"/>
            <x v="34"/>
          </reference>
        </references>
      </pivotArea>
    </format>
    <format dxfId="58">
      <pivotArea dataOnly="0" labelOnly="1" fieldPosition="0">
        <references count="2">
          <reference field="0" count="1" selected="0">
            <x v="15"/>
          </reference>
          <reference field="1" count="19">
            <x v="0"/>
            <x v="3"/>
            <x v="5"/>
            <x v="6"/>
            <x v="8"/>
            <x v="9"/>
            <x v="11"/>
            <x v="12"/>
            <x v="13"/>
            <x v="15"/>
            <x v="18"/>
            <x v="19"/>
            <x v="20"/>
            <x v="21"/>
            <x v="24"/>
            <x v="25"/>
            <x v="28"/>
            <x v="32"/>
            <x v="34"/>
          </reference>
        </references>
      </pivotArea>
    </format>
    <format dxfId="57">
      <pivotArea dataOnly="0" labelOnly="1" fieldPosition="0">
        <references count="2">
          <reference field="0" count="1" selected="0">
            <x v="16"/>
          </reference>
          <reference field="1" count="11">
            <x v="2"/>
            <x v="3"/>
            <x v="5"/>
            <x v="6"/>
            <x v="11"/>
            <x v="18"/>
            <x v="21"/>
            <x v="25"/>
            <x v="28"/>
            <x v="32"/>
            <x v="34"/>
          </reference>
        </references>
      </pivotArea>
    </format>
    <format dxfId="56">
      <pivotArea dataOnly="0" labelOnly="1" fieldPosition="0">
        <references count="2">
          <reference field="0" count="1" selected="0">
            <x v="17"/>
          </reference>
          <reference field="1" count="13">
            <x v="0"/>
            <x v="3"/>
            <x v="6"/>
            <x v="8"/>
            <x v="9"/>
            <x v="11"/>
            <x v="18"/>
            <x v="19"/>
            <x v="25"/>
            <x v="28"/>
            <x v="32"/>
            <x v="33"/>
            <x v="34"/>
          </reference>
        </references>
      </pivotArea>
    </format>
    <format dxfId="55">
      <pivotArea dataOnly="0" labelOnly="1" fieldPosition="0">
        <references count="2">
          <reference field="0" count="1" selected="0">
            <x v="18"/>
          </reference>
          <reference field="1" count="7">
            <x v="5"/>
            <x v="18"/>
            <x v="25"/>
            <x v="28"/>
            <x v="32"/>
            <x v="33"/>
            <x v="34"/>
          </reference>
        </references>
      </pivotArea>
    </format>
    <format dxfId="54">
      <pivotArea dataOnly="0" labelOnly="1" fieldPosition="0">
        <references count="2">
          <reference field="0" count="1" selected="0">
            <x v="19"/>
          </reference>
          <reference field="1" count="15">
            <x v="0"/>
            <x v="2"/>
            <x v="3"/>
            <x v="6"/>
            <x v="7"/>
            <x v="8"/>
            <x v="9"/>
            <x v="11"/>
            <x v="18"/>
            <x v="20"/>
            <x v="25"/>
            <x v="28"/>
            <x v="32"/>
            <x v="33"/>
            <x v="34"/>
          </reference>
        </references>
      </pivotArea>
    </format>
    <format dxfId="53">
      <pivotArea dataOnly="0" labelOnly="1" fieldPosition="0">
        <references count="2">
          <reference field="0" count="1" selected="0">
            <x v="20"/>
          </reference>
          <reference field="1" count="20">
            <x v="2"/>
            <x v="4"/>
            <x v="5"/>
            <x v="6"/>
            <x v="7"/>
            <x v="8"/>
            <x v="11"/>
            <x v="13"/>
            <x v="15"/>
            <x v="17"/>
            <x v="18"/>
            <x v="19"/>
            <x v="21"/>
            <x v="23"/>
            <x v="25"/>
            <x v="26"/>
            <x v="28"/>
            <x v="32"/>
            <x v="33"/>
            <x v="34"/>
          </reference>
        </references>
      </pivotArea>
    </format>
    <format dxfId="52">
      <pivotArea dataOnly="0" labelOnly="1" fieldPosition="0">
        <references count="2">
          <reference field="0" count="1" selected="0">
            <x v="21"/>
          </reference>
          <reference field="1" count="10">
            <x v="5"/>
            <x v="8"/>
            <x v="11"/>
            <x v="13"/>
            <x v="15"/>
            <x v="18"/>
            <x v="25"/>
            <x v="28"/>
            <x v="32"/>
            <x v="34"/>
          </reference>
        </references>
      </pivotArea>
    </format>
    <format dxfId="51">
      <pivotArea dataOnly="0" labelOnly="1" fieldPosition="0">
        <references count="2">
          <reference field="0" count="1" selected="0">
            <x v="22"/>
          </reference>
          <reference field="1" count="7">
            <x v="9"/>
            <x v="11"/>
            <x v="18"/>
            <x v="25"/>
            <x v="28"/>
            <x v="32"/>
            <x v="33"/>
          </reference>
        </references>
      </pivotArea>
    </format>
    <format dxfId="50">
      <pivotArea dataOnly="0" labelOnly="1" fieldPosition="0">
        <references count="2">
          <reference field="0" count="1" selected="0">
            <x v="23"/>
          </reference>
          <reference field="1" count="15">
            <x v="5"/>
            <x v="6"/>
            <x v="8"/>
            <x v="9"/>
            <x v="11"/>
            <x v="13"/>
            <x v="18"/>
            <x v="19"/>
            <x v="20"/>
            <x v="21"/>
            <x v="25"/>
            <x v="28"/>
            <x v="32"/>
            <x v="33"/>
            <x v="34"/>
          </reference>
        </references>
      </pivotArea>
    </format>
    <format dxfId="49">
      <pivotArea dataOnly="0" labelOnly="1" fieldPosition="0">
        <references count="2">
          <reference field="0" count="1" selected="0">
            <x v="24"/>
          </reference>
          <reference field="1" count="13">
            <x v="0"/>
            <x v="3"/>
            <x v="4"/>
            <x v="6"/>
            <x v="11"/>
            <x v="12"/>
            <x v="18"/>
            <x v="19"/>
            <x v="25"/>
            <x v="28"/>
            <x v="32"/>
            <x v="33"/>
            <x v="34"/>
          </reference>
        </references>
      </pivotArea>
    </format>
    <format dxfId="48">
      <pivotArea dataOnly="0" labelOnly="1" fieldPosition="0">
        <references count="2">
          <reference field="0" count="1" selected="0">
            <x v="25"/>
          </reference>
          <reference field="1" count="13">
            <x v="0"/>
            <x v="3"/>
            <x v="5"/>
            <x v="6"/>
            <x v="12"/>
            <x v="13"/>
            <x v="18"/>
            <x v="19"/>
            <x v="25"/>
            <x v="28"/>
            <x v="32"/>
            <x v="33"/>
            <x v="34"/>
          </reference>
        </references>
      </pivotArea>
    </format>
    <format dxfId="47">
      <pivotArea dataOnly="0" labelOnly="1" fieldPosition="0">
        <references count="2">
          <reference field="0" count="1" selected="0">
            <x v="26"/>
          </reference>
          <reference field="1" count="8">
            <x v="3"/>
            <x v="7"/>
            <x v="8"/>
            <x v="11"/>
            <x v="18"/>
            <x v="25"/>
            <x v="28"/>
            <x v="34"/>
          </reference>
        </references>
      </pivotArea>
    </format>
    <format dxfId="46">
      <pivotArea dataOnly="0" labelOnly="1" fieldPosition="0">
        <references count="2">
          <reference field="0" count="1" selected="0">
            <x v="27"/>
          </reference>
          <reference field="1" count="16">
            <x v="0"/>
            <x v="3"/>
            <x v="5"/>
            <x v="6"/>
            <x v="8"/>
            <x v="9"/>
            <x v="10"/>
            <x v="11"/>
            <x v="12"/>
            <x v="13"/>
            <x v="18"/>
            <x v="25"/>
            <x v="28"/>
            <x v="32"/>
            <x v="33"/>
            <x v="34"/>
          </reference>
        </references>
      </pivotArea>
    </format>
    <format dxfId="45">
      <pivotArea dataOnly="0" labelOnly="1" fieldPosition="0">
        <references count="2">
          <reference field="0" count="1" selected="0">
            <x v="28"/>
          </reference>
          <reference field="1" count="13">
            <x v="2"/>
            <x v="4"/>
            <x v="5"/>
            <x v="9"/>
            <x v="11"/>
            <x v="13"/>
            <x v="18"/>
            <x v="21"/>
            <x v="23"/>
            <x v="25"/>
            <x v="28"/>
            <x v="32"/>
            <x v="34"/>
          </reference>
        </references>
      </pivotArea>
    </format>
    <format dxfId="44">
      <pivotArea dataOnly="0" labelOnly="1" fieldPosition="0">
        <references count="2">
          <reference field="0" count="1" selected="0">
            <x v="29"/>
          </reference>
          <reference field="1" count="17">
            <x v="0"/>
            <x v="3"/>
            <x v="4"/>
            <x v="5"/>
            <x v="6"/>
            <x v="7"/>
            <x v="8"/>
            <x v="9"/>
            <x v="11"/>
            <x v="13"/>
            <x v="18"/>
            <x v="21"/>
            <x v="25"/>
            <x v="28"/>
            <x v="32"/>
            <x v="33"/>
            <x v="34"/>
          </reference>
        </references>
      </pivotArea>
    </format>
    <format dxfId="43">
      <pivotArea dataOnly="0" labelOnly="1" fieldPosition="0">
        <references count="2">
          <reference field="0" count="1" selected="0">
            <x v="30"/>
          </reference>
          <reference field="1" count="8">
            <x v="3"/>
            <x v="9"/>
            <x v="18"/>
            <x v="25"/>
            <x v="28"/>
            <x v="32"/>
            <x v="33"/>
            <x v="34"/>
          </reference>
        </references>
      </pivotArea>
    </format>
    <format dxfId="42">
      <pivotArea dataOnly="0" labelOnly="1" fieldPosition="0">
        <references count="2">
          <reference field="0" count="1" selected="0">
            <x v="31"/>
          </reference>
          <reference field="1" count="12">
            <x v="5"/>
            <x v="8"/>
            <x v="9"/>
            <x v="13"/>
            <x v="15"/>
            <x v="18"/>
            <x v="19"/>
            <x v="25"/>
            <x v="28"/>
            <x v="32"/>
            <x v="33"/>
            <x v="34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0" type="button" dataOnly="0" labelOnly="1" outline="0" axis="axisRow" fieldPosition="0"/>
    </format>
    <format dxfId="36">
      <pivotArea field="1" type="button" dataOnly="0" labelOnly="1" outline="0" axis="axisRow" fieldPosition="1"/>
    </format>
    <format dxfId="35">
      <pivotArea dataOnly="0" labelOnly="1" outline="0" fieldPosition="0">
        <references count="1">
          <reference field="0" count="0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2">
          <reference field="0" count="1" selected="0">
            <x v="0"/>
          </reference>
          <reference field="1" count="6">
            <x v="5"/>
            <x v="18"/>
            <x v="25"/>
            <x v="28"/>
            <x v="32"/>
            <x v="34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1"/>
          </reference>
          <reference field="1" count="7">
            <x v="5"/>
            <x v="13"/>
            <x v="18"/>
            <x v="25"/>
            <x v="28"/>
            <x v="32"/>
            <x v="34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2"/>
          </reference>
          <reference field="1" count="8">
            <x v="5"/>
            <x v="11"/>
            <x v="18"/>
            <x v="19"/>
            <x v="25"/>
            <x v="28"/>
            <x v="32"/>
            <x v="34"/>
          </reference>
        </references>
      </pivotArea>
    </format>
    <format dxfId="30">
      <pivotArea dataOnly="0" labelOnly="1" outline="0" fieldPosition="0">
        <references count="2">
          <reference field="0" count="1" selected="0">
            <x v="3"/>
          </reference>
          <reference field="1" count="9">
            <x v="3"/>
            <x v="9"/>
            <x v="11"/>
            <x v="18"/>
            <x v="25"/>
            <x v="28"/>
            <x v="32"/>
            <x v="33"/>
            <x v="34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4"/>
          </reference>
          <reference field="1" count="13">
            <x v="0"/>
            <x v="3"/>
            <x v="6"/>
            <x v="7"/>
            <x v="8"/>
            <x v="9"/>
            <x v="11"/>
            <x v="18"/>
            <x v="25"/>
            <x v="28"/>
            <x v="32"/>
            <x v="33"/>
            <x v="34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5"/>
          </reference>
          <reference field="1" count="8">
            <x v="5"/>
            <x v="6"/>
            <x v="13"/>
            <x v="18"/>
            <x v="25"/>
            <x v="28"/>
            <x v="32"/>
            <x v="34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6"/>
          </reference>
          <reference field="1" count="6">
            <x v="2"/>
            <x v="5"/>
            <x v="18"/>
            <x v="25"/>
            <x v="28"/>
            <x v="34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7"/>
          </reference>
          <reference field="1" count="19">
            <x v="1"/>
            <x v="3"/>
            <x v="5"/>
            <x v="9"/>
            <x v="13"/>
            <x v="14"/>
            <x v="16"/>
            <x v="18"/>
            <x v="20"/>
            <x v="22"/>
            <x v="25"/>
            <x v="27"/>
            <x v="29"/>
            <x v="30"/>
            <x v="31"/>
            <x v="32"/>
            <x v="33"/>
            <x v="34"/>
            <x v="35"/>
          </reference>
        </references>
      </pivotArea>
    </format>
    <format dxfId="25">
      <pivotArea dataOnly="0" labelOnly="1" outline="0" fieldPosition="0">
        <references count="2">
          <reference field="0" count="1" selected="0">
            <x v="8"/>
          </reference>
          <reference field="1" count="8">
            <x v="3"/>
            <x v="6"/>
            <x v="8"/>
            <x v="11"/>
            <x v="18"/>
            <x v="25"/>
            <x v="28"/>
            <x v="32"/>
          </reference>
        </references>
      </pivotArea>
    </format>
    <format dxfId="24">
      <pivotArea dataOnly="0" labelOnly="1" outline="0" fieldPosition="0">
        <references count="2">
          <reference field="0" count="1" selected="0">
            <x v="9"/>
          </reference>
          <reference field="1" count="8">
            <x v="5"/>
            <x v="6"/>
            <x v="13"/>
            <x v="18"/>
            <x v="25"/>
            <x v="28"/>
            <x v="32"/>
            <x v="34"/>
          </reference>
        </references>
      </pivotArea>
    </format>
    <format dxfId="23">
      <pivotArea dataOnly="0" labelOnly="1" outline="0" fieldPosition="0">
        <references count="2">
          <reference field="0" count="1" selected="0">
            <x v="10"/>
          </reference>
          <reference field="1" count="14">
            <x v="5"/>
            <x v="6"/>
            <x v="9"/>
            <x v="13"/>
            <x v="15"/>
            <x v="18"/>
            <x v="19"/>
            <x v="20"/>
            <x v="21"/>
            <x v="25"/>
            <x v="28"/>
            <x v="32"/>
            <x v="33"/>
            <x v="34"/>
          </reference>
        </references>
      </pivotArea>
    </format>
    <format dxfId="22">
      <pivotArea dataOnly="0" labelOnly="1" outline="0" fieldPosition="0">
        <references count="2">
          <reference field="0" count="1" selected="0">
            <x v="11"/>
          </reference>
          <reference field="1" count="13">
            <x v="0"/>
            <x v="3"/>
            <x v="6"/>
            <x v="7"/>
            <x v="8"/>
            <x v="9"/>
            <x v="11"/>
            <x v="18"/>
            <x v="25"/>
            <x v="28"/>
            <x v="32"/>
            <x v="33"/>
            <x v="34"/>
          </reference>
        </references>
      </pivotArea>
    </format>
    <format dxfId="21">
      <pivotArea dataOnly="0" labelOnly="1" outline="0" fieldPosition="0">
        <references count="2">
          <reference field="0" count="1" selected="0">
            <x v="12"/>
          </reference>
          <reference field="1" count="15">
            <x v="0"/>
            <x v="2"/>
            <x v="3"/>
            <x v="5"/>
            <x v="6"/>
            <x v="8"/>
            <x v="11"/>
            <x v="13"/>
            <x v="18"/>
            <x v="20"/>
            <x v="21"/>
            <x v="25"/>
            <x v="28"/>
            <x v="32"/>
            <x v="34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13"/>
          </reference>
          <reference field="1" count="16">
            <x v="0"/>
            <x v="3"/>
            <x v="5"/>
            <x v="6"/>
            <x v="7"/>
            <x v="8"/>
            <x v="9"/>
            <x v="11"/>
            <x v="13"/>
            <x v="15"/>
            <x v="18"/>
            <x v="19"/>
            <x v="25"/>
            <x v="28"/>
            <x v="32"/>
            <x v="34"/>
          </reference>
        </references>
      </pivotArea>
    </format>
    <format dxfId="19">
      <pivotArea dataOnly="0" labelOnly="1" outline="0" fieldPosition="0">
        <references count="2">
          <reference field="0" count="1" selected="0">
            <x v="14"/>
          </reference>
          <reference field="1" count="18">
            <x v="2"/>
            <x v="3"/>
            <x v="4"/>
            <x v="5"/>
            <x v="6"/>
            <x v="8"/>
            <x v="9"/>
            <x v="11"/>
            <x v="13"/>
            <x v="15"/>
            <x v="18"/>
            <x v="20"/>
            <x v="21"/>
            <x v="25"/>
            <x v="28"/>
            <x v="29"/>
            <x v="32"/>
            <x v="34"/>
          </reference>
        </references>
      </pivotArea>
    </format>
    <format dxfId="18">
      <pivotArea dataOnly="0" labelOnly="1" outline="0" fieldPosition="0">
        <references count="2">
          <reference field="0" count="1" selected="0">
            <x v="15"/>
          </reference>
          <reference field="1" count="19">
            <x v="0"/>
            <x v="3"/>
            <x v="5"/>
            <x v="6"/>
            <x v="8"/>
            <x v="9"/>
            <x v="11"/>
            <x v="12"/>
            <x v="13"/>
            <x v="15"/>
            <x v="18"/>
            <x v="19"/>
            <x v="20"/>
            <x v="21"/>
            <x v="24"/>
            <x v="25"/>
            <x v="28"/>
            <x v="32"/>
            <x v="34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16"/>
          </reference>
          <reference field="1" count="11">
            <x v="2"/>
            <x v="3"/>
            <x v="5"/>
            <x v="6"/>
            <x v="11"/>
            <x v="18"/>
            <x v="21"/>
            <x v="25"/>
            <x v="28"/>
            <x v="32"/>
            <x v="34"/>
          </reference>
        </references>
      </pivotArea>
    </format>
    <format dxfId="16">
      <pivotArea dataOnly="0" labelOnly="1" outline="0" fieldPosition="0">
        <references count="2">
          <reference field="0" count="1" selected="0">
            <x v="17"/>
          </reference>
          <reference field="1" count="13">
            <x v="0"/>
            <x v="3"/>
            <x v="6"/>
            <x v="8"/>
            <x v="9"/>
            <x v="11"/>
            <x v="18"/>
            <x v="19"/>
            <x v="25"/>
            <x v="28"/>
            <x v="32"/>
            <x v="33"/>
            <x v="34"/>
          </reference>
        </references>
      </pivotArea>
    </format>
    <format dxfId="15">
      <pivotArea dataOnly="0" labelOnly="1" outline="0" fieldPosition="0">
        <references count="2">
          <reference field="0" count="1" selected="0">
            <x v="18"/>
          </reference>
          <reference field="1" count="7">
            <x v="5"/>
            <x v="18"/>
            <x v="25"/>
            <x v="28"/>
            <x v="32"/>
            <x v="33"/>
            <x v="34"/>
          </reference>
        </references>
      </pivotArea>
    </format>
    <format dxfId="14">
      <pivotArea dataOnly="0" labelOnly="1" outline="0" fieldPosition="0">
        <references count="2">
          <reference field="0" count="1" selected="0">
            <x v="19"/>
          </reference>
          <reference field="1" count="15">
            <x v="0"/>
            <x v="2"/>
            <x v="3"/>
            <x v="6"/>
            <x v="7"/>
            <x v="8"/>
            <x v="9"/>
            <x v="11"/>
            <x v="18"/>
            <x v="20"/>
            <x v="25"/>
            <x v="28"/>
            <x v="32"/>
            <x v="33"/>
            <x v="34"/>
          </reference>
        </references>
      </pivotArea>
    </format>
    <format dxfId="13">
      <pivotArea dataOnly="0" labelOnly="1" outline="0" fieldPosition="0">
        <references count="2">
          <reference field="0" count="1" selected="0">
            <x v="20"/>
          </reference>
          <reference field="1" count="20">
            <x v="2"/>
            <x v="4"/>
            <x v="5"/>
            <x v="6"/>
            <x v="7"/>
            <x v="8"/>
            <x v="11"/>
            <x v="13"/>
            <x v="15"/>
            <x v="17"/>
            <x v="18"/>
            <x v="19"/>
            <x v="21"/>
            <x v="23"/>
            <x v="25"/>
            <x v="26"/>
            <x v="28"/>
            <x v="32"/>
            <x v="33"/>
            <x v="34"/>
          </reference>
        </references>
      </pivotArea>
    </format>
    <format dxfId="12">
      <pivotArea dataOnly="0" labelOnly="1" outline="0" fieldPosition="0">
        <references count="2">
          <reference field="0" count="1" selected="0">
            <x v="21"/>
          </reference>
          <reference field="1" count="10">
            <x v="5"/>
            <x v="8"/>
            <x v="11"/>
            <x v="13"/>
            <x v="15"/>
            <x v="18"/>
            <x v="25"/>
            <x v="28"/>
            <x v="32"/>
            <x v="34"/>
          </reference>
        </references>
      </pivotArea>
    </format>
    <format dxfId="11">
      <pivotArea dataOnly="0" labelOnly="1" outline="0" fieldPosition="0">
        <references count="2">
          <reference field="0" count="1" selected="0">
            <x v="22"/>
          </reference>
          <reference field="1" count="7">
            <x v="9"/>
            <x v="11"/>
            <x v="18"/>
            <x v="25"/>
            <x v="28"/>
            <x v="32"/>
            <x v="33"/>
          </reference>
        </references>
      </pivotArea>
    </format>
    <format dxfId="10">
      <pivotArea dataOnly="0" labelOnly="1" outline="0" fieldPosition="0">
        <references count="2">
          <reference field="0" count="1" selected="0">
            <x v="23"/>
          </reference>
          <reference field="1" count="15">
            <x v="5"/>
            <x v="6"/>
            <x v="8"/>
            <x v="9"/>
            <x v="11"/>
            <x v="13"/>
            <x v="18"/>
            <x v="19"/>
            <x v="20"/>
            <x v="21"/>
            <x v="25"/>
            <x v="28"/>
            <x v="32"/>
            <x v="33"/>
            <x v="34"/>
          </reference>
        </references>
      </pivotArea>
    </format>
    <format dxfId="9">
      <pivotArea dataOnly="0" labelOnly="1" outline="0" fieldPosition="0">
        <references count="2">
          <reference field="0" count="1" selected="0">
            <x v="24"/>
          </reference>
          <reference field="1" count="13">
            <x v="0"/>
            <x v="3"/>
            <x v="4"/>
            <x v="6"/>
            <x v="11"/>
            <x v="12"/>
            <x v="18"/>
            <x v="19"/>
            <x v="25"/>
            <x v="28"/>
            <x v="32"/>
            <x v="33"/>
            <x v="34"/>
          </reference>
        </references>
      </pivotArea>
    </format>
    <format dxfId="8">
      <pivotArea dataOnly="0" labelOnly="1" outline="0" fieldPosition="0">
        <references count="2">
          <reference field="0" count="1" selected="0">
            <x v="25"/>
          </reference>
          <reference field="1" count="13">
            <x v="0"/>
            <x v="3"/>
            <x v="5"/>
            <x v="6"/>
            <x v="12"/>
            <x v="13"/>
            <x v="18"/>
            <x v="19"/>
            <x v="25"/>
            <x v="28"/>
            <x v="32"/>
            <x v="33"/>
            <x v="34"/>
          </reference>
        </references>
      </pivotArea>
    </format>
    <format dxfId="7">
      <pivotArea dataOnly="0" labelOnly="1" outline="0" fieldPosition="0">
        <references count="2">
          <reference field="0" count="1" selected="0">
            <x v="26"/>
          </reference>
          <reference field="1" count="8">
            <x v="3"/>
            <x v="7"/>
            <x v="8"/>
            <x v="11"/>
            <x v="18"/>
            <x v="25"/>
            <x v="28"/>
            <x v="34"/>
          </reference>
        </references>
      </pivotArea>
    </format>
    <format dxfId="6">
      <pivotArea dataOnly="0" labelOnly="1" outline="0" fieldPosition="0">
        <references count="2">
          <reference field="0" count="1" selected="0">
            <x v="27"/>
          </reference>
          <reference field="1" count="16">
            <x v="0"/>
            <x v="3"/>
            <x v="5"/>
            <x v="6"/>
            <x v="8"/>
            <x v="9"/>
            <x v="10"/>
            <x v="11"/>
            <x v="12"/>
            <x v="13"/>
            <x v="18"/>
            <x v="25"/>
            <x v="28"/>
            <x v="32"/>
            <x v="33"/>
            <x v="34"/>
          </reference>
        </references>
      </pivotArea>
    </format>
    <format dxfId="5">
      <pivotArea dataOnly="0" labelOnly="1" outline="0" fieldPosition="0">
        <references count="2">
          <reference field="0" count="1" selected="0">
            <x v="28"/>
          </reference>
          <reference field="1" count="13">
            <x v="2"/>
            <x v="4"/>
            <x v="5"/>
            <x v="9"/>
            <x v="11"/>
            <x v="13"/>
            <x v="18"/>
            <x v="21"/>
            <x v="23"/>
            <x v="25"/>
            <x v="28"/>
            <x v="32"/>
            <x v="34"/>
          </reference>
        </references>
      </pivotArea>
    </format>
    <format dxfId="4">
      <pivotArea dataOnly="0" labelOnly="1" outline="0" fieldPosition="0">
        <references count="2">
          <reference field="0" count="1" selected="0">
            <x v="29"/>
          </reference>
          <reference field="1" count="17">
            <x v="0"/>
            <x v="3"/>
            <x v="4"/>
            <x v="5"/>
            <x v="6"/>
            <x v="7"/>
            <x v="8"/>
            <x v="9"/>
            <x v="11"/>
            <x v="13"/>
            <x v="18"/>
            <x v="21"/>
            <x v="25"/>
            <x v="28"/>
            <x v="32"/>
            <x v="33"/>
            <x v="34"/>
          </reference>
        </references>
      </pivotArea>
    </format>
    <format dxfId="3">
      <pivotArea dataOnly="0" labelOnly="1" outline="0" fieldPosition="0">
        <references count="2">
          <reference field="0" count="1" selected="0">
            <x v="30"/>
          </reference>
          <reference field="1" count="8">
            <x v="3"/>
            <x v="9"/>
            <x v="18"/>
            <x v="25"/>
            <x v="28"/>
            <x v="32"/>
            <x v="33"/>
            <x v="34"/>
          </reference>
        </references>
      </pivotArea>
    </format>
    <format dxfId="2">
      <pivotArea dataOnly="0" labelOnly="1" outline="0" fieldPosition="0">
        <references count="2">
          <reference field="0" count="1" selected="0">
            <x v="31"/>
          </reference>
          <reference field="1" count="12">
            <x v="5"/>
            <x v="8"/>
            <x v="9"/>
            <x v="13"/>
            <x v="15"/>
            <x v="18"/>
            <x v="19"/>
            <x v="25"/>
            <x v="28"/>
            <x v="32"/>
            <x v="33"/>
            <x v="34"/>
          </reference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92D8-68BC-4B91-8D08-D63F240ED36F}">
  <dimension ref="A1:K33"/>
  <sheetViews>
    <sheetView tabSelected="1" workbookViewId="0">
      <selection activeCell="A9" sqref="A9"/>
    </sheetView>
  </sheetViews>
  <sheetFormatPr baseColWidth="10" defaultRowHeight="14.4" x14ac:dyDescent="0.3"/>
  <cols>
    <col min="1" max="1" width="30.44140625" bestFit="1" customWidth="1"/>
    <col min="2" max="2" width="12.21875" style="2" bestFit="1" customWidth="1"/>
    <col min="3" max="3" width="10.44140625" style="2" bestFit="1" customWidth="1"/>
    <col min="4" max="5" width="11.44140625" style="3" bestFit="1" customWidth="1"/>
    <col min="6" max="6" width="19.109375" style="3" bestFit="1" customWidth="1"/>
    <col min="7" max="7" width="17.6640625" style="1" bestFit="1" customWidth="1"/>
    <col min="8" max="9" width="8.88671875" bestFit="1" customWidth="1"/>
  </cols>
  <sheetData>
    <row r="1" spans="1:11" x14ac:dyDescent="0.3">
      <c r="A1" t="s">
        <v>34</v>
      </c>
      <c r="B1" s="2" t="s">
        <v>35</v>
      </c>
      <c r="C1" s="2" t="s">
        <v>36</v>
      </c>
      <c r="D1" s="3" t="s">
        <v>37</v>
      </c>
      <c r="E1" s="3" t="s">
        <v>38</v>
      </c>
      <c r="F1" s="3" t="s">
        <v>39</v>
      </c>
      <c r="G1" s="1" t="s">
        <v>40</v>
      </c>
      <c r="H1" t="s">
        <v>32</v>
      </c>
      <c r="I1" t="s">
        <v>33</v>
      </c>
      <c r="J1" t="s">
        <v>41</v>
      </c>
      <c r="K1" t="s">
        <v>42</v>
      </c>
    </row>
    <row r="2" spans="1:11" x14ac:dyDescent="0.3">
      <c r="A2" t="s">
        <v>0</v>
      </c>
      <c r="B2" s="2">
        <v>7496</v>
      </c>
      <c r="C2" s="2">
        <v>14491</v>
      </c>
      <c r="D2" s="3">
        <v>758.24999999999795</v>
      </c>
      <c r="E2" s="3">
        <v>3539.85</v>
      </c>
      <c r="F2" s="3">
        <v>4298.1000000000004</v>
      </c>
      <c r="G2" s="1">
        <v>60798635.860987075</v>
      </c>
      <c r="H2" s="2">
        <v>5465</v>
      </c>
      <c r="I2" s="2">
        <v>2031</v>
      </c>
      <c r="J2">
        <v>11</v>
      </c>
      <c r="K2">
        <v>7</v>
      </c>
    </row>
    <row r="3" spans="1:11" x14ac:dyDescent="0.3">
      <c r="A3" t="s">
        <v>1</v>
      </c>
      <c r="B3" s="2">
        <v>456</v>
      </c>
      <c r="C3" s="2">
        <v>907</v>
      </c>
      <c r="D3" s="3">
        <v>47.549999999999898</v>
      </c>
      <c r="E3" s="3">
        <v>223.75</v>
      </c>
      <c r="F3" s="3">
        <v>271.3</v>
      </c>
      <c r="G3" s="1">
        <v>4714464.3879367448</v>
      </c>
      <c r="H3" s="2">
        <v>339</v>
      </c>
      <c r="I3" s="2">
        <v>117</v>
      </c>
      <c r="J3">
        <v>4</v>
      </c>
      <c r="K3">
        <v>2</v>
      </c>
    </row>
    <row r="4" spans="1:11" x14ac:dyDescent="0.3">
      <c r="A4" t="s">
        <v>2</v>
      </c>
      <c r="B4" s="2">
        <v>572</v>
      </c>
      <c r="C4" s="2">
        <v>1072</v>
      </c>
      <c r="D4" s="3">
        <v>70.8</v>
      </c>
      <c r="E4" s="3">
        <v>246</v>
      </c>
      <c r="F4" s="3">
        <v>316.8</v>
      </c>
      <c r="G4" s="1">
        <v>5547995.5801975308</v>
      </c>
      <c r="H4" s="2">
        <v>455</v>
      </c>
      <c r="I4" s="2">
        <v>117</v>
      </c>
      <c r="J4">
        <v>5</v>
      </c>
      <c r="K4">
        <v>3</v>
      </c>
    </row>
    <row r="5" spans="1:11" x14ac:dyDescent="0.3">
      <c r="A5" t="s">
        <v>3</v>
      </c>
      <c r="B5" s="2">
        <v>28831</v>
      </c>
      <c r="C5" s="2">
        <v>53723</v>
      </c>
      <c r="D5" s="3">
        <v>5451.95</v>
      </c>
      <c r="E5" s="3">
        <v>10661.75</v>
      </c>
      <c r="F5" s="3">
        <v>16113.7</v>
      </c>
      <c r="G5" s="1">
        <v>245175049.14880389</v>
      </c>
      <c r="H5" s="2">
        <v>16342</v>
      </c>
      <c r="I5" s="2">
        <v>12489</v>
      </c>
      <c r="J5">
        <v>13</v>
      </c>
      <c r="K5">
        <v>18</v>
      </c>
    </row>
    <row r="6" spans="1:11" x14ac:dyDescent="0.3">
      <c r="A6" t="s">
        <v>4</v>
      </c>
      <c r="B6" s="2">
        <v>338049</v>
      </c>
      <c r="C6" s="2">
        <v>338049</v>
      </c>
      <c r="D6" s="3">
        <v>50424.6499999999</v>
      </c>
      <c r="E6" s="3">
        <v>50990.049999999901</v>
      </c>
      <c r="F6" s="3">
        <v>101414.69999999899</v>
      </c>
      <c r="G6" s="1">
        <v>1564810354.138468</v>
      </c>
      <c r="H6" s="2">
        <v>197488</v>
      </c>
      <c r="I6" s="2">
        <v>140561</v>
      </c>
      <c r="J6">
        <v>124</v>
      </c>
      <c r="K6">
        <v>95</v>
      </c>
    </row>
    <row r="7" spans="1:11" x14ac:dyDescent="0.3">
      <c r="A7" t="s">
        <v>5</v>
      </c>
      <c r="B7" s="2">
        <v>41628</v>
      </c>
      <c r="C7" s="2">
        <v>79607</v>
      </c>
      <c r="D7" s="3">
        <v>9210.5</v>
      </c>
      <c r="E7" s="3">
        <v>13625.799999999899</v>
      </c>
      <c r="F7" s="3">
        <v>22836.299999999901</v>
      </c>
      <c r="G7" s="1">
        <v>415433838.70603633</v>
      </c>
      <c r="H7" s="2">
        <v>25790</v>
      </c>
      <c r="I7" s="2">
        <v>15838</v>
      </c>
      <c r="J7">
        <v>64</v>
      </c>
      <c r="K7">
        <v>49</v>
      </c>
    </row>
    <row r="8" spans="1:11" x14ac:dyDescent="0.3">
      <c r="A8" t="s">
        <v>6</v>
      </c>
      <c r="B8" s="2">
        <v>3918</v>
      </c>
      <c r="C8" s="2">
        <v>4870</v>
      </c>
      <c r="D8" s="3">
        <v>532.34999999999798</v>
      </c>
      <c r="E8" s="3">
        <v>925.34999999999798</v>
      </c>
      <c r="F8" s="3">
        <v>1457.69999999999</v>
      </c>
      <c r="G8" s="1">
        <v>22054570.739569999</v>
      </c>
      <c r="H8" s="2">
        <v>2248</v>
      </c>
      <c r="I8" s="2">
        <v>1670</v>
      </c>
      <c r="J8">
        <v>16</v>
      </c>
      <c r="K8">
        <v>4</v>
      </c>
    </row>
    <row r="9" spans="1:11" x14ac:dyDescent="0.3">
      <c r="A9" t="s">
        <v>7</v>
      </c>
      <c r="B9" s="2">
        <v>9255</v>
      </c>
      <c r="C9" s="2">
        <v>17763</v>
      </c>
      <c r="D9" s="3">
        <v>1886.1</v>
      </c>
      <c r="E9" s="3">
        <v>3254.8</v>
      </c>
      <c r="F9" s="3">
        <v>5140.8999999999996</v>
      </c>
      <c r="G9" s="1">
        <v>81285506.855027959</v>
      </c>
      <c r="H9" s="2">
        <v>7377</v>
      </c>
      <c r="I9" s="2">
        <v>1878</v>
      </c>
      <c r="J9">
        <v>38</v>
      </c>
      <c r="K9">
        <v>13</v>
      </c>
    </row>
    <row r="10" spans="1:11" x14ac:dyDescent="0.3">
      <c r="A10" t="s">
        <v>8</v>
      </c>
      <c r="B10" s="2">
        <v>3684</v>
      </c>
      <c r="C10" s="2">
        <v>7096</v>
      </c>
      <c r="D10" s="3">
        <v>722.89999999999895</v>
      </c>
      <c r="E10" s="3">
        <v>1405.3999999999901</v>
      </c>
      <c r="F10" s="3">
        <v>2128.2999999999902</v>
      </c>
      <c r="G10" s="1">
        <v>30740051.691477675</v>
      </c>
      <c r="H10" s="2">
        <v>2548</v>
      </c>
      <c r="I10" s="2">
        <v>1136</v>
      </c>
      <c r="J10">
        <v>10</v>
      </c>
      <c r="K10">
        <v>5</v>
      </c>
    </row>
    <row r="11" spans="1:11" x14ac:dyDescent="0.3">
      <c r="A11" t="s">
        <v>9</v>
      </c>
      <c r="B11" s="2">
        <v>52325</v>
      </c>
      <c r="C11" s="2">
        <v>102741</v>
      </c>
      <c r="D11" s="3">
        <v>12931.2499999999</v>
      </c>
      <c r="E11" s="3">
        <v>12931.2499999999</v>
      </c>
      <c r="F11" s="3">
        <v>25862.499999999902</v>
      </c>
      <c r="G11" s="1">
        <v>437703347.60200143</v>
      </c>
      <c r="H11" s="2">
        <v>33067</v>
      </c>
      <c r="I11" s="2">
        <v>19258</v>
      </c>
      <c r="J11">
        <v>39</v>
      </c>
      <c r="K11">
        <v>42</v>
      </c>
    </row>
    <row r="12" spans="1:11" x14ac:dyDescent="0.3">
      <c r="A12" t="s">
        <v>10</v>
      </c>
      <c r="B12" s="2">
        <v>46982</v>
      </c>
      <c r="C12" s="2">
        <v>90573</v>
      </c>
      <c r="D12" s="3">
        <v>10379.5999999999</v>
      </c>
      <c r="E12" s="3">
        <v>16220.2</v>
      </c>
      <c r="F12" s="3">
        <v>26599.8</v>
      </c>
      <c r="G12" s="1">
        <v>396302301.48731387</v>
      </c>
      <c r="H12" s="2">
        <v>31437</v>
      </c>
      <c r="I12" s="2">
        <v>15545</v>
      </c>
      <c r="J12">
        <v>46</v>
      </c>
      <c r="K12">
        <v>24</v>
      </c>
    </row>
    <row r="13" spans="1:11" x14ac:dyDescent="0.3">
      <c r="A13" t="s">
        <v>11</v>
      </c>
      <c r="B13" s="2">
        <v>331176</v>
      </c>
      <c r="C13" s="2">
        <v>520479</v>
      </c>
      <c r="D13" s="3">
        <v>78071.749999999898</v>
      </c>
      <c r="E13" s="3">
        <v>78071.949999999895</v>
      </c>
      <c r="F13" s="3">
        <v>156143.69999999899</v>
      </c>
      <c r="G13" s="1">
        <v>2443139682.8761816</v>
      </c>
      <c r="H13" s="2">
        <v>163990</v>
      </c>
      <c r="I13" s="2">
        <v>167186</v>
      </c>
      <c r="J13">
        <v>85</v>
      </c>
      <c r="K13">
        <v>128</v>
      </c>
    </row>
    <row r="14" spans="1:11" x14ac:dyDescent="0.3">
      <c r="A14" t="s">
        <v>12</v>
      </c>
      <c r="B14" s="2">
        <v>69735</v>
      </c>
      <c r="C14" s="2">
        <v>109258</v>
      </c>
      <c r="D14" s="3">
        <v>12844.85</v>
      </c>
      <c r="E14" s="3">
        <v>19760.55</v>
      </c>
      <c r="F14" s="3">
        <v>32605.4</v>
      </c>
      <c r="G14" s="1">
        <v>490400330.77474356</v>
      </c>
      <c r="H14" s="2">
        <v>47339</v>
      </c>
      <c r="I14" s="2">
        <v>22396</v>
      </c>
      <c r="J14">
        <v>84</v>
      </c>
      <c r="K14">
        <v>35</v>
      </c>
    </row>
    <row r="15" spans="1:11" x14ac:dyDescent="0.3">
      <c r="A15" t="s">
        <v>13</v>
      </c>
      <c r="B15" s="2">
        <v>62115</v>
      </c>
      <c r="C15" s="2">
        <v>117154</v>
      </c>
      <c r="D15" s="3">
        <v>7870.6499999999896</v>
      </c>
      <c r="E15" s="3">
        <v>27172.95</v>
      </c>
      <c r="F15" s="3">
        <v>35043.599999999999</v>
      </c>
      <c r="G15" s="1">
        <v>502114326.50285888</v>
      </c>
      <c r="H15" s="2">
        <v>42844</v>
      </c>
      <c r="I15" s="2">
        <v>19271</v>
      </c>
      <c r="J15">
        <v>125</v>
      </c>
      <c r="K15">
        <v>40</v>
      </c>
    </row>
    <row r="16" spans="1:11" x14ac:dyDescent="0.3">
      <c r="A16" t="s">
        <v>14</v>
      </c>
      <c r="B16" s="2">
        <v>170828</v>
      </c>
      <c r="C16" s="2">
        <v>253938</v>
      </c>
      <c r="D16" s="3">
        <v>25993.55</v>
      </c>
      <c r="E16" s="3">
        <v>49940.95</v>
      </c>
      <c r="F16" s="3">
        <v>75934.5</v>
      </c>
      <c r="G16" s="1">
        <v>1160604984.2753043</v>
      </c>
      <c r="H16" s="2">
        <v>102070</v>
      </c>
      <c r="I16" s="2">
        <v>68758</v>
      </c>
      <c r="J16">
        <v>125</v>
      </c>
      <c r="K16">
        <v>69</v>
      </c>
    </row>
    <row r="17" spans="1:11" x14ac:dyDescent="0.3">
      <c r="A17" t="s">
        <v>15</v>
      </c>
      <c r="B17" s="2">
        <v>75843</v>
      </c>
      <c r="C17" s="2">
        <v>136446</v>
      </c>
      <c r="D17" s="3">
        <v>8830.9</v>
      </c>
      <c r="E17" s="3">
        <v>32075</v>
      </c>
      <c r="F17" s="3">
        <v>40905.9</v>
      </c>
      <c r="G17" s="1">
        <v>574874618.72194648</v>
      </c>
      <c r="H17" s="2">
        <v>48524</v>
      </c>
      <c r="I17" s="2">
        <v>27319</v>
      </c>
      <c r="J17">
        <v>113</v>
      </c>
      <c r="K17">
        <v>47</v>
      </c>
    </row>
    <row r="18" spans="1:11" s="9" customFormat="1" x14ac:dyDescent="0.3">
      <c r="A18" s="9" t="s">
        <v>16</v>
      </c>
      <c r="B18" s="10">
        <v>18181</v>
      </c>
      <c r="C18" s="10">
        <v>30189</v>
      </c>
      <c r="D18" s="11">
        <v>3200.6499999999801</v>
      </c>
      <c r="E18" s="11">
        <v>5856.0499999999802</v>
      </c>
      <c r="F18" s="11">
        <v>9056.6999999999607</v>
      </c>
      <c r="G18" s="12">
        <v>134800313.19270271</v>
      </c>
      <c r="H18" s="10">
        <v>11804</v>
      </c>
      <c r="I18" s="10">
        <v>6377</v>
      </c>
      <c r="J18" s="9">
        <v>36</v>
      </c>
      <c r="K18" s="9">
        <v>7</v>
      </c>
    </row>
    <row r="19" spans="1:11" x14ac:dyDescent="0.3">
      <c r="A19" t="s">
        <v>17</v>
      </c>
      <c r="B19" s="2">
        <v>27902</v>
      </c>
      <c r="C19" s="2">
        <v>52417</v>
      </c>
      <c r="D19" s="3">
        <v>4608.8</v>
      </c>
      <c r="E19" s="3">
        <v>7730.65</v>
      </c>
      <c r="F19" s="3">
        <v>12339.45</v>
      </c>
      <c r="G19" s="1">
        <v>190121230.21184686</v>
      </c>
      <c r="H19" s="2">
        <v>18254</v>
      </c>
      <c r="I19" s="2">
        <v>9648</v>
      </c>
      <c r="J19">
        <v>20</v>
      </c>
      <c r="K19">
        <v>17</v>
      </c>
    </row>
    <row r="20" spans="1:11" x14ac:dyDescent="0.3">
      <c r="A20" t="s">
        <v>18</v>
      </c>
      <c r="B20" s="2">
        <v>9669</v>
      </c>
      <c r="C20" s="2">
        <v>18634</v>
      </c>
      <c r="D20" s="3">
        <v>2767.8</v>
      </c>
      <c r="E20" s="3">
        <v>2805.4</v>
      </c>
      <c r="F20" s="3">
        <v>5573.2</v>
      </c>
      <c r="G20" s="1">
        <v>90666254.414583027</v>
      </c>
      <c r="H20" s="2">
        <v>7247</v>
      </c>
      <c r="I20" s="2">
        <v>2422</v>
      </c>
      <c r="J20">
        <v>35</v>
      </c>
      <c r="K20">
        <v>12</v>
      </c>
    </row>
    <row r="21" spans="1:11" x14ac:dyDescent="0.3">
      <c r="A21" t="s">
        <v>19</v>
      </c>
      <c r="B21" s="2">
        <v>193771</v>
      </c>
      <c r="C21" s="2">
        <v>193771</v>
      </c>
      <c r="D21" s="3">
        <v>28581.5999999999</v>
      </c>
      <c r="E21" s="3">
        <v>29549.699999999899</v>
      </c>
      <c r="F21" s="3">
        <v>58131.299999999901</v>
      </c>
      <c r="G21" s="1">
        <v>918779614.2150321</v>
      </c>
      <c r="H21" s="2">
        <v>108577</v>
      </c>
      <c r="I21" s="2">
        <v>85194</v>
      </c>
      <c r="J21">
        <v>557</v>
      </c>
      <c r="K21">
        <v>95</v>
      </c>
    </row>
    <row r="22" spans="1:11" x14ac:dyDescent="0.3">
      <c r="A22" t="s">
        <v>20</v>
      </c>
      <c r="B22" s="2">
        <v>117130</v>
      </c>
      <c r="C22" s="2">
        <v>190387</v>
      </c>
      <c r="D22" s="3">
        <v>27950.949999999899</v>
      </c>
      <c r="E22" s="3">
        <v>28813.05</v>
      </c>
      <c r="F22" s="3">
        <v>56763.999999999898</v>
      </c>
      <c r="G22" s="1">
        <v>884019044.45076418</v>
      </c>
      <c r="H22" s="2">
        <v>68420</v>
      </c>
      <c r="I22" s="2">
        <v>48710</v>
      </c>
      <c r="J22">
        <v>217</v>
      </c>
      <c r="K22">
        <v>53</v>
      </c>
    </row>
    <row r="23" spans="1:11" x14ac:dyDescent="0.3">
      <c r="A23" t="s">
        <v>21</v>
      </c>
      <c r="B23" s="2">
        <v>16908</v>
      </c>
      <c r="C23" s="2">
        <v>30152</v>
      </c>
      <c r="D23" s="3">
        <v>4503.45</v>
      </c>
      <c r="E23" s="3">
        <v>4503.6499999999996</v>
      </c>
      <c r="F23" s="3">
        <v>9007.1</v>
      </c>
      <c r="G23" s="1">
        <v>140480315.49615872</v>
      </c>
      <c r="H23" s="2">
        <v>11189</v>
      </c>
      <c r="I23" s="2">
        <v>5719</v>
      </c>
      <c r="J23">
        <v>18</v>
      </c>
      <c r="K23">
        <v>10</v>
      </c>
    </row>
    <row r="24" spans="1:11" x14ac:dyDescent="0.3">
      <c r="A24" t="s">
        <v>22</v>
      </c>
      <c r="B24" s="2">
        <v>22159</v>
      </c>
      <c r="C24" s="2">
        <v>42436</v>
      </c>
      <c r="D24" s="3">
        <v>6148.9</v>
      </c>
      <c r="E24" s="3">
        <v>6558.4</v>
      </c>
      <c r="F24" s="3">
        <v>12707.3</v>
      </c>
      <c r="G24" s="1">
        <v>200133652.85412997</v>
      </c>
      <c r="H24" s="2">
        <v>14311</v>
      </c>
      <c r="I24" s="2">
        <v>7848</v>
      </c>
      <c r="J24">
        <v>10</v>
      </c>
      <c r="K24">
        <v>15</v>
      </c>
    </row>
    <row r="25" spans="1:11" x14ac:dyDescent="0.3">
      <c r="A25" t="s">
        <v>23</v>
      </c>
      <c r="B25" s="2">
        <v>49276</v>
      </c>
      <c r="C25" s="2">
        <v>85481</v>
      </c>
      <c r="D25" s="3">
        <v>11609.25</v>
      </c>
      <c r="E25" s="3">
        <v>13135.1499999999</v>
      </c>
      <c r="F25" s="3">
        <v>24744.3999999999</v>
      </c>
      <c r="G25" s="1">
        <v>391428865.56242168</v>
      </c>
      <c r="H25" s="2">
        <v>34852</v>
      </c>
      <c r="I25" s="2">
        <v>14424</v>
      </c>
      <c r="J25">
        <v>58</v>
      </c>
      <c r="K25">
        <v>41</v>
      </c>
    </row>
    <row r="26" spans="1:11" x14ac:dyDescent="0.3">
      <c r="A26" t="s">
        <v>24</v>
      </c>
      <c r="B26" s="2">
        <v>59806</v>
      </c>
      <c r="C26" s="2">
        <v>397933</v>
      </c>
      <c r="D26" s="3">
        <v>57388.099999999897</v>
      </c>
      <c r="E26" s="3">
        <v>60168.499999999898</v>
      </c>
      <c r="F26" s="3">
        <v>117556.599999999</v>
      </c>
      <c r="G26" s="1">
        <v>1774795714.3293681</v>
      </c>
      <c r="H26" s="2">
        <v>39361</v>
      </c>
      <c r="I26" s="2">
        <v>20445</v>
      </c>
      <c r="J26">
        <v>20</v>
      </c>
      <c r="K26">
        <v>43</v>
      </c>
    </row>
    <row r="27" spans="1:11" x14ac:dyDescent="0.3">
      <c r="A27" t="s">
        <v>25</v>
      </c>
      <c r="B27" s="2">
        <v>9699</v>
      </c>
      <c r="C27" s="2">
        <v>19032</v>
      </c>
      <c r="D27" s="3">
        <v>2604.5999999999899</v>
      </c>
      <c r="E27" s="3">
        <v>3061.49999999999</v>
      </c>
      <c r="F27" s="3">
        <v>5666.0999999999904</v>
      </c>
      <c r="G27" s="1">
        <v>93024091.077129886</v>
      </c>
      <c r="H27" s="2">
        <v>6930</v>
      </c>
      <c r="I27" s="2">
        <v>2769</v>
      </c>
      <c r="J27">
        <v>69</v>
      </c>
      <c r="K27">
        <v>19</v>
      </c>
    </row>
    <row r="28" spans="1:11" x14ac:dyDescent="0.3">
      <c r="A28" t="s">
        <v>26</v>
      </c>
      <c r="B28" s="2">
        <v>24879</v>
      </c>
      <c r="C28" s="2">
        <v>39057</v>
      </c>
      <c r="D28" s="3">
        <v>4555.1499999999996</v>
      </c>
      <c r="E28" s="3">
        <v>7157.0499999999802</v>
      </c>
      <c r="F28" s="3">
        <v>11712.199999999901</v>
      </c>
      <c r="G28" s="1">
        <v>176042362.36427259</v>
      </c>
      <c r="H28" s="2">
        <v>15279</v>
      </c>
      <c r="I28" s="2">
        <v>9600</v>
      </c>
      <c r="J28">
        <v>17</v>
      </c>
      <c r="K28">
        <v>16</v>
      </c>
    </row>
    <row r="29" spans="1:11" x14ac:dyDescent="0.3">
      <c r="A29" t="s">
        <v>27</v>
      </c>
      <c r="B29" s="2">
        <v>23297</v>
      </c>
      <c r="C29" s="2">
        <v>45726</v>
      </c>
      <c r="D29" s="3">
        <v>6482.6</v>
      </c>
      <c r="E29" s="3">
        <v>7183.6</v>
      </c>
      <c r="F29" s="3">
        <v>13666.2</v>
      </c>
      <c r="G29" s="1">
        <v>160858085.61237195</v>
      </c>
      <c r="H29" s="2">
        <v>15292</v>
      </c>
      <c r="I29" s="2">
        <v>8005</v>
      </c>
      <c r="J29">
        <v>40</v>
      </c>
      <c r="K29">
        <v>13</v>
      </c>
    </row>
    <row r="30" spans="1:11" x14ac:dyDescent="0.3">
      <c r="A30" t="s">
        <v>28</v>
      </c>
      <c r="B30" s="2">
        <v>28450</v>
      </c>
      <c r="C30" s="2">
        <v>51096</v>
      </c>
      <c r="D30" s="3">
        <v>3079.7999999999802</v>
      </c>
      <c r="E30" s="3">
        <v>12116.2</v>
      </c>
      <c r="F30" s="3">
        <v>15196</v>
      </c>
      <c r="G30" s="1">
        <v>220056848.98493966</v>
      </c>
      <c r="H30" s="2">
        <v>17254</v>
      </c>
      <c r="I30" s="2">
        <v>11196</v>
      </c>
      <c r="J30">
        <v>60</v>
      </c>
      <c r="K30">
        <v>10</v>
      </c>
    </row>
    <row r="31" spans="1:11" x14ac:dyDescent="0.3">
      <c r="A31" t="s">
        <v>29</v>
      </c>
      <c r="B31" s="2">
        <v>173479</v>
      </c>
      <c r="C31" s="2">
        <v>266114</v>
      </c>
      <c r="D31" s="3">
        <v>22729.599999999999</v>
      </c>
      <c r="E31" s="3">
        <v>57029</v>
      </c>
      <c r="F31" s="3">
        <v>79758.600000000006</v>
      </c>
      <c r="G31" s="1">
        <v>1145127502.1932878</v>
      </c>
      <c r="H31" s="2">
        <v>108505</v>
      </c>
      <c r="I31" s="2">
        <v>64974</v>
      </c>
      <c r="J31">
        <v>212</v>
      </c>
      <c r="K31">
        <v>62</v>
      </c>
    </row>
    <row r="32" spans="1:11" x14ac:dyDescent="0.3">
      <c r="A32" t="s">
        <v>30</v>
      </c>
      <c r="B32" s="2">
        <v>25426</v>
      </c>
      <c r="C32" s="2">
        <v>45327</v>
      </c>
      <c r="D32" s="3">
        <v>6796.74999999999</v>
      </c>
      <c r="E32" s="3">
        <v>6797.1499999999896</v>
      </c>
      <c r="F32" s="3">
        <v>13593.8999999999</v>
      </c>
      <c r="G32" s="1">
        <v>214177837.71025515</v>
      </c>
      <c r="H32" s="2">
        <v>20917</v>
      </c>
      <c r="I32" s="2">
        <v>4509</v>
      </c>
      <c r="J32">
        <v>100</v>
      </c>
      <c r="K32">
        <v>15</v>
      </c>
    </row>
    <row r="33" spans="1:11" x14ac:dyDescent="0.3">
      <c r="A33" t="s">
        <v>31</v>
      </c>
      <c r="B33" s="2">
        <v>81674</v>
      </c>
      <c r="C33" s="2">
        <v>161241</v>
      </c>
      <c r="D33" s="3">
        <v>18691.599999999999</v>
      </c>
      <c r="E33" s="3">
        <v>18691.599999999999</v>
      </c>
      <c r="F33" s="3">
        <v>37383.199999999997</v>
      </c>
      <c r="G33" s="1">
        <v>613737200.26044929</v>
      </c>
      <c r="H33" s="2">
        <v>53035</v>
      </c>
      <c r="I33" s="2">
        <v>28639</v>
      </c>
      <c r="J33">
        <v>58</v>
      </c>
      <c r="K3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5343C-0583-4FB6-9268-A0472A4C88E2}">
  <dimension ref="A3:G421"/>
  <sheetViews>
    <sheetView topLeftCell="A3" workbookViewId="0">
      <selection activeCell="A3" sqref="A3"/>
    </sheetView>
  </sheetViews>
  <sheetFormatPr baseColWidth="10" defaultRowHeight="14.4" x14ac:dyDescent="0.3"/>
  <cols>
    <col min="1" max="1" width="32.44140625" style="4" bestFit="1" customWidth="1"/>
    <col min="2" max="2" width="26.77734375" style="7" bestFit="1" customWidth="1"/>
    <col min="3" max="3" width="18.77734375" style="5" bestFit="1" customWidth="1"/>
    <col min="4" max="4" width="19.77734375" style="4" bestFit="1" customWidth="1"/>
    <col min="5" max="7" width="11.5546875" style="4"/>
  </cols>
  <sheetData>
    <row r="3" spans="1:4" x14ac:dyDescent="0.3">
      <c r="A3" s="6" t="s">
        <v>34</v>
      </c>
      <c r="B3" s="6" t="s">
        <v>79</v>
      </c>
      <c r="C3" s="7" t="s">
        <v>81</v>
      </c>
      <c r="D3" s="4" t="s">
        <v>82</v>
      </c>
    </row>
    <row r="4" spans="1:4" x14ac:dyDescent="0.3">
      <c r="A4" s="4" t="s">
        <v>0</v>
      </c>
      <c r="B4" s="4" t="s">
        <v>43</v>
      </c>
      <c r="C4" s="7">
        <v>7196</v>
      </c>
      <c r="D4" s="8">
        <v>0.95997865528281745</v>
      </c>
    </row>
    <row r="5" spans="1:4" x14ac:dyDescent="0.3">
      <c r="A5" s="4" t="s">
        <v>0</v>
      </c>
      <c r="B5" s="4" t="s">
        <v>44</v>
      </c>
      <c r="C5" s="7">
        <v>253</v>
      </c>
      <c r="D5" s="8">
        <v>3.3751334044823909E-2</v>
      </c>
    </row>
    <row r="6" spans="1:4" x14ac:dyDescent="0.3">
      <c r="A6" s="4" t="s">
        <v>0</v>
      </c>
      <c r="B6" s="4" t="s">
        <v>45</v>
      </c>
      <c r="C6" s="7">
        <v>25</v>
      </c>
      <c r="D6" s="8">
        <v>3.3351120597652083E-3</v>
      </c>
    </row>
    <row r="7" spans="1:4" x14ac:dyDescent="0.3">
      <c r="A7" s="4" t="s">
        <v>0</v>
      </c>
      <c r="B7" s="4" t="s">
        <v>46</v>
      </c>
      <c r="C7" s="7">
        <v>19</v>
      </c>
      <c r="D7" s="8">
        <v>2.534685165421558E-3</v>
      </c>
    </row>
    <row r="8" spans="1:4" x14ac:dyDescent="0.3">
      <c r="A8" s="4" t="s">
        <v>0</v>
      </c>
      <c r="B8" s="4" t="s">
        <v>47</v>
      </c>
      <c r="C8" s="7">
        <v>2</v>
      </c>
      <c r="D8" s="8">
        <v>2.6680896478121667E-4</v>
      </c>
    </row>
    <row r="9" spans="1:4" x14ac:dyDescent="0.3">
      <c r="A9" s="4" t="s">
        <v>0</v>
      </c>
      <c r="B9" s="4" t="s">
        <v>48</v>
      </c>
      <c r="C9" s="7">
        <v>1</v>
      </c>
      <c r="D9" s="8">
        <v>1.3340448239060833E-4</v>
      </c>
    </row>
    <row r="10" spans="1:4" x14ac:dyDescent="0.3">
      <c r="A10" s="4" t="s">
        <v>1</v>
      </c>
      <c r="B10" s="4" t="s">
        <v>47</v>
      </c>
      <c r="C10" s="7">
        <v>409</v>
      </c>
      <c r="D10" s="8">
        <v>0.89692982456140347</v>
      </c>
    </row>
    <row r="11" spans="1:4" x14ac:dyDescent="0.3">
      <c r="A11" s="4" t="s">
        <v>1</v>
      </c>
      <c r="B11" s="4" t="s">
        <v>43</v>
      </c>
      <c r="C11" s="7">
        <v>33</v>
      </c>
      <c r="D11" s="8">
        <v>7.2368421052631582E-2</v>
      </c>
    </row>
    <row r="12" spans="1:4" x14ac:dyDescent="0.3">
      <c r="A12" s="4" t="s">
        <v>1</v>
      </c>
      <c r="B12" s="4" t="s">
        <v>49</v>
      </c>
      <c r="C12" s="7">
        <v>6</v>
      </c>
      <c r="D12" s="8">
        <v>1.3157894736842105E-2</v>
      </c>
    </row>
    <row r="13" spans="1:4" x14ac:dyDescent="0.3">
      <c r="A13" s="4" t="s">
        <v>1</v>
      </c>
      <c r="B13" s="4" t="s">
        <v>44</v>
      </c>
      <c r="C13" s="7">
        <v>4</v>
      </c>
      <c r="D13" s="8">
        <v>8.771929824561403E-3</v>
      </c>
    </row>
    <row r="14" spans="1:4" x14ac:dyDescent="0.3">
      <c r="A14" s="4" t="s">
        <v>1</v>
      </c>
      <c r="B14" s="4" t="s">
        <v>46</v>
      </c>
      <c r="C14" s="7">
        <v>2</v>
      </c>
      <c r="D14" s="8">
        <v>4.3859649122807015E-3</v>
      </c>
    </row>
    <row r="15" spans="1:4" x14ac:dyDescent="0.3">
      <c r="A15" s="4" t="s">
        <v>1</v>
      </c>
      <c r="B15" s="4" t="s">
        <v>48</v>
      </c>
      <c r="C15" s="7">
        <v>1</v>
      </c>
      <c r="D15" s="8">
        <v>2.1929824561403508E-3</v>
      </c>
    </row>
    <row r="16" spans="1:4" x14ac:dyDescent="0.3">
      <c r="A16" s="4" t="s">
        <v>1</v>
      </c>
      <c r="B16" s="4" t="s">
        <v>45</v>
      </c>
      <c r="C16" s="7">
        <v>1</v>
      </c>
      <c r="D16" s="8">
        <v>2.1929824561403508E-3</v>
      </c>
    </row>
    <row r="17" spans="1:4" x14ac:dyDescent="0.3">
      <c r="A17" s="4" t="s">
        <v>2</v>
      </c>
      <c r="B17" s="4" t="s">
        <v>43</v>
      </c>
      <c r="C17" s="7">
        <v>470</v>
      </c>
      <c r="D17" s="8">
        <v>0.82167832167832167</v>
      </c>
    </row>
    <row r="18" spans="1:4" x14ac:dyDescent="0.3">
      <c r="A18" s="4" t="s">
        <v>2</v>
      </c>
      <c r="B18" s="4" t="s">
        <v>47</v>
      </c>
      <c r="C18" s="7">
        <v>65</v>
      </c>
      <c r="D18" s="8">
        <v>0.11363636363636363</v>
      </c>
    </row>
    <row r="19" spans="1:4" x14ac:dyDescent="0.3">
      <c r="A19" s="4" t="s">
        <v>2</v>
      </c>
      <c r="B19" s="4" t="s">
        <v>44</v>
      </c>
      <c r="C19" s="7">
        <v>26</v>
      </c>
      <c r="D19" s="8">
        <v>4.5454545454545456E-2</v>
      </c>
    </row>
    <row r="20" spans="1:4" x14ac:dyDescent="0.3">
      <c r="A20" s="4" t="s">
        <v>2</v>
      </c>
      <c r="B20" s="4" t="s">
        <v>48</v>
      </c>
      <c r="C20" s="7">
        <v>5</v>
      </c>
      <c r="D20" s="8">
        <v>8.7412587412587419E-3</v>
      </c>
    </row>
    <row r="21" spans="1:4" x14ac:dyDescent="0.3">
      <c r="A21" s="4" t="s">
        <v>2</v>
      </c>
      <c r="B21" s="4" t="s">
        <v>50</v>
      </c>
      <c r="C21" s="7">
        <v>2</v>
      </c>
      <c r="D21" s="8">
        <v>3.4965034965034965E-3</v>
      </c>
    </row>
    <row r="22" spans="1:4" x14ac:dyDescent="0.3">
      <c r="A22" s="4" t="s">
        <v>2</v>
      </c>
      <c r="B22" s="4" t="s">
        <v>51</v>
      </c>
      <c r="C22" s="7">
        <v>2</v>
      </c>
      <c r="D22" s="8">
        <v>3.4965034965034965E-3</v>
      </c>
    </row>
    <row r="23" spans="1:4" x14ac:dyDescent="0.3">
      <c r="A23" s="4" t="s">
        <v>2</v>
      </c>
      <c r="B23" s="4" t="s">
        <v>45</v>
      </c>
      <c r="C23" s="7">
        <v>1</v>
      </c>
      <c r="D23" s="8">
        <v>1.7482517482517483E-3</v>
      </c>
    </row>
    <row r="24" spans="1:4" x14ac:dyDescent="0.3">
      <c r="A24" s="4" t="s">
        <v>2</v>
      </c>
      <c r="B24" s="4" t="s">
        <v>46</v>
      </c>
      <c r="C24" s="7">
        <v>1</v>
      </c>
      <c r="D24" s="8">
        <v>1.7482517482517483E-3</v>
      </c>
    </row>
    <row r="25" spans="1:4" x14ac:dyDescent="0.3">
      <c r="A25" s="4" t="s">
        <v>3</v>
      </c>
      <c r="B25" s="4" t="s">
        <v>43</v>
      </c>
      <c r="C25" s="7">
        <v>25657</v>
      </c>
      <c r="D25" s="8">
        <v>0.88991016614061258</v>
      </c>
    </row>
    <row r="26" spans="1:4" x14ac:dyDescent="0.3">
      <c r="A26" s="4" t="s">
        <v>3</v>
      </c>
      <c r="B26" s="4" t="s">
        <v>50</v>
      </c>
      <c r="C26" s="7">
        <v>2272</v>
      </c>
      <c r="D26" s="8">
        <v>7.8804065068849502E-2</v>
      </c>
    </row>
    <row r="27" spans="1:4" x14ac:dyDescent="0.3">
      <c r="A27" s="4" t="s">
        <v>3</v>
      </c>
      <c r="B27" s="4" t="s">
        <v>45</v>
      </c>
      <c r="C27" s="7">
        <v>731</v>
      </c>
      <c r="D27" s="8">
        <v>2.5354652977697616E-2</v>
      </c>
    </row>
    <row r="28" spans="1:4" x14ac:dyDescent="0.3">
      <c r="A28" s="4" t="s">
        <v>3</v>
      </c>
      <c r="B28" s="4" t="s">
        <v>52</v>
      </c>
      <c r="C28" s="7">
        <v>95</v>
      </c>
      <c r="D28" s="8">
        <v>3.2950643404668586E-3</v>
      </c>
    </row>
    <row r="29" spans="1:4" x14ac:dyDescent="0.3">
      <c r="A29" s="4" t="s">
        <v>3</v>
      </c>
      <c r="B29" s="4" t="s">
        <v>53</v>
      </c>
      <c r="C29" s="7">
        <v>33</v>
      </c>
      <c r="D29" s="8">
        <v>1.1446012972148034E-3</v>
      </c>
    </row>
    <row r="30" spans="1:4" x14ac:dyDescent="0.3">
      <c r="A30" s="4" t="s">
        <v>3</v>
      </c>
      <c r="B30" s="4" t="s">
        <v>44</v>
      </c>
      <c r="C30" s="7">
        <v>20</v>
      </c>
      <c r="D30" s="8">
        <v>6.9369775588775967E-4</v>
      </c>
    </row>
    <row r="31" spans="1:4" x14ac:dyDescent="0.3">
      <c r="A31" s="4" t="s">
        <v>3</v>
      </c>
      <c r="B31" s="4" t="s">
        <v>54</v>
      </c>
      <c r="C31" s="7">
        <v>20</v>
      </c>
      <c r="D31" s="8">
        <v>6.9369775588775967E-4</v>
      </c>
    </row>
    <row r="32" spans="1:4" x14ac:dyDescent="0.3">
      <c r="A32" s="4" t="s">
        <v>3</v>
      </c>
      <c r="B32" s="4" t="s">
        <v>48</v>
      </c>
      <c r="C32" s="7">
        <v>2</v>
      </c>
      <c r="D32" s="8">
        <v>6.9369775588775976E-5</v>
      </c>
    </row>
    <row r="33" spans="1:4" x14ac:dyDescent="0.3">
      <c r="A33" s="4" t="s">
        <v>3</v>
      </c>
      <c r="B33" s="4" t="s">
        <v>47</v>
      </c>
      <c r="C33" s="7">
        <v>1</v>
      </c>
      <c r="D33" s="8">
        <v>3.4684887794387988E-5</v>
      </c>
    </row>
    <row r="34" spans="1:4" x14ac:dyDescent="0.3">
      <c r="A34" s="4" t="s">
        <v>4</v>
      </c>
      <c r="B34" s="4" t="s">
        <v>43</v>
      </c>
      <c r="C34" s="7">
        <v>208140</v>
      </c>
      <c r="D34" s="8">
        <v>0.61570955689855611</v>
      </c>
    </row>
    <row r="35" spans="1:4" x14ac:dyDescent="0.3">
      <c r="A35" s="4" t="s">
        <v>4</v>
      </c>
      <c r="B35" s="4" t="s">
        <v>55</v>
      </c>
      <c r="C35" s="7">
        <v>75303</v>
      </c>
      <c r="D35" s="8">
        <v>0.22275764755996913</v>
      </c>
    </row>
    <row r="36" spans="1:4" x14ac:dyDescent="0.3">
      <c r="A36" s="4" t="s">
        <v>4</v>
      </c>
      <c r="B36" s="4" t="s">
        <v>45</v>
      </c>
      <c r="C36" s="7">
        <v>43474</v>
      </c>
      <c r="D36" s="8">
        <v>0.1286026581945221</v>
      </c>
    </row>
    <row r="37" spans="1:4" x14ac:dyDescent="0.3">
      <c r="A37" s="4" t="s">
        <v>4</v>
      </c>
      <c r="B37" s="4" t="s">
        <v>50</v>
      </c>
      <c r="C37" s="7">
        <v>5654</v>
      </c>
      <c r="D37" s="8">
        <v>1.6725385964756589E-2</v>
      </c>
    </row>
    <row r="38" spans="1:4" x14ac:dyDescent="0.3">
      <c r="A38" s="4" t="s">
        <v>4</v>
      </c>
      <c r="B38" s="4" t="s">
        <v>56</v>
      </c>
      <c r="C38" s="7">
        <v>3866</v>
      </c>
      <c r="D38" s="8">
        <v>1.1436211910107706E-2</v>
      </c>
    </row>
    <row r="39" spans="1:4" x14ac:dyDescent="0.3">
      <c r="A39" s="4" t="s">
        <v>4</v>
      </c>
      <c r="B39" s="4" t="s">
        <v>44</v>
      </c>
      <c r="C39" s="7">
        <v>888</v>
      </c>
      <c r="D39" s="8">
        <v>2.6268381211007872E-3</v>
      </c>
    </row>
    <row r="40" spans="1:4" x14ac:dyDescent="0.3">
      <c r="A40" s="4" t="s">
        <v>4</v>
      </c>
      <c r="B40" s="4" t="s">
        <v>57</v>
      </c>
      <c r="C40" s="7">
        <v>306</v>
      </c>
      <c r="D40" s="8">
        <v>9.0519421740635237E-4</v>
      </c>
    </row>
    <row r="41" spans="1:4" x14ac:dyDescent="0.3">
      <c r="A41" s="4" t="s">
        <v>4</v>
      </c>
      <c r="B41" s="4" t="s">
        <v>54</v>
      </c>
      <c r="C41" s="7">
        <v>254</v>
      </c>
      <c r="D41" s="8">
        <v>7.5137036346801796E-4</v>
      </c>
    </row>
    <row r="42" spans="1:4" x14ac:dyDescent="0.3">
      <c r="A42" s="4" t="s">
        <v>4</v>
      </c>
      <c r="B42" s="4" t="s">
        <v>48</v>
      </c>
      <c r="C42" s="7">
        <v>128</v>
      </c>
      <c r="D42" s="8">
        <v>3.7864333277128466E-4</v>
      </c>
    </row>
    <row r="43" spans="1:4" x14ac:dyDescent="0.3">
      <c r="A43" s="4" t="s">
        <v>4</v>
      </c>
      <c r="B43" s="4" t="s">
        <v>47</v>
      </c>
      <c r="C43" s="7">
        <v>19</v>
      </c>
      <c r="D43" s="8">
        <v>5.6204869708237562E-5</v>
      </c>
    </row>
    <row r="44" spans="1:4" x14ac:dyDescent="0.3">
      <c r="A44" s="4" t="s">
        <v>4</v>
      </c>
      <c r="B44" s="4" t="s">
        <v>58</v>
      </c>
      <c r="C44" s="7">
        <v>13</v>
      </c>
      <c r="D44" s="8">
        <v>3.8455963484583596E-5</v>
      </c>
    </row>
    <row r="45" spans="1:4" x14ac:dyDescent="0.3">
      <c r="A45" s="4" t="s">
        <v>4</v>
      </c>
      <c r="B45" s="4" t="s">
        <v>53</v>
      </c>
      <c r="C45" s="7">
        <v>2</v>
      </c>
      <c r="D45" s="8">
        <v>5.9163020745513229E-6</v>
      </c>
    </row>
    <row r="46" spans="1:4" x14ac:dyDescent="0.3">
      <c r="A46" s="4" t="s">
        <v>4</v>
      </c>
      <c r="B46" s="4" t="s">
        <v>52</v>
      </c>
      <c r="C46" s="7">
        <v>2</v>
      </c>
      <c r="D46" s="8">
        <v>5.9163020745513229E-6</v>
      </c>
    </row>
    <row r="47" spans="1:4" x14ac:dyDescent="0.3">
      <c r="A47" s="4" t="s">
        <v>5</v>
      </c>
      <c r="B47" s="4" t="s">
        <v>43</v>
      </c>
      <c r="C47" s="7">
        <v>23458</v>
      </c>
      <c r="D47" s="8">
        <v>0.56351494186605167</v>
      </c>
    </row>
    <row r="48" spans="1:4" x14ac:dyDescent="0.3">
      <c r="A48" s="4" t="s">
        <v>5</v>
      </c>
      <c r="B48" s="4" t="s">
        <v>45</v>
      </c>
      <c r="C48" s="7">
        <v>8191</v>
      </c>
      <c r="D48" s="8">
        <v>0.19676659940424715</v>
      </c>
    </row>
    <row r="49" spans="1:4" x14ac:dyDescent="0.3">
      <c r="A49" s="4" t="s">
        <v>5</v>
      </c>
      <c r="B49" s="4" t="s">
        <v>44</v>
      </c>
      <c r="C49" s="7">
        <v>5318</v>
      </c>
      <c r="D49" s="8">
        <v>0.12775055251273182</v>
      </c>
    </row>
    <row r="50" spans="1:4" x14ac:dyDescent="0.3">
      <c r="A50" s="4" t="s">
        <v>5</v>
      </c>
      <c r="B50" s="4" t="s">
        <v>46</v>
      </c>
      <c r="C50" s="7">
        <v>4186</v>
      </c>
      <c r="D50" s="8">
        <v>0.10055731719035264</v>
      </c>
    </row>
    <row r="51" spans="1:4" x14ac:dyDescent="0.3">
      <c r="A51" s="4" t="s">
        <v>5</v>
      </c>
      <c r="B51" s="4" t="s">
        <v>48</v>
      </c>
      <c r="C51" s="7">
        <v>427</v>
      </c>
      <c r="D51" s="8">
        <v>1.0257518977611223E-2</v>
      </c>
    </row>
    <row r="52" spans="1:4" x14ac:dyDescent="0.3">
      <c r="A52" s="4" t="s">
        <v>5</v>
      </c>
      <c r="B52" s="4" t="s">
        <v>47</v>
      </c>
      <c r="C52" s="7">
        <v>28</v>
      </c>
      <c r="D52" s="8">
        <v>6.7262419525319494E-4</v>
      </c>
    </row>
    <row r="53" spans="1:4" x14ac:dyDescent="0.3">
      <c r="A53" s="4" t="s">
        <v>5</v>
      </c>
      <c r="B53" s="4" t="s">
        <v>57</v>
      </c>
      <c r="C53" s="7">
        <v>14</v>
      </c>
      <c r="D53" s="8">
        <v>3.3631209762659747E-4</v>
      </c>
    </row>
    <row r="54" spans="1:4" x14ac:dyDescent="0.3">
      <c r="A54" s="4" t="s">
        <v>5</v>
      </c>
      <c r="B54" s="4" t="s">
        <v>49</v>
      </c>
      <c r="C54" s="7">
        <v>6</v>
      </c>
      <c r="D54" s="8">
        <v>1.4413375612568464E-4</v>
      </c>
    </row>
    <row r="55" spans="1:4" x14ac:dyDescent="0.3">
      <c r="A55" s="4" t="s">
        <v>6</v>
      </c>
      <c r="B55" s="4" t="s">
        <v>43</v>
      </c>
      <c r="C55" s="7">
        <v>3144</v>
      </c>
      <c r="D55" s="8">
        <v>0.80245022970903523</v>
      </c>
    </row>
    <row r="56" spans="1:4" x14ac:dyDescent="0.3">
      <c r="A56" s="4" t="s">
        <v>6</v>
      </c>
      <c r="B56" s="4" t="s">
        <v>45</v>
      </c>
      <c r="C56" s="7">
        <v>655</v>
      </c>
      <c r="D56" s="8">
        <v>0.16717713118938235</v>
      </c>
    </row>
    <row r="57" spans="1:4" x14ac:dyDescent="0.3">
      <c r="A57" s="4" t="s">
        <v>6</v>
      </c>
      <c r="B57" s="4" t="s">
        <v>59</v>
      </c>
      <c r="C57" s="7">
        <v>57</v>
      </c>
      <c r="D57" s="8">
        <v>1.4548238897396631E-2</v>
      </c>
    </row>
    <row r="58" spans="1:4" x14ac:dyDescent="0.3">
      <c r="A58" s="4" t="s">
        <v>6</v>
      </c>
      <c r="B58" s="4" t="s">
        <v>44</v>
      </c>
      <c r="C58" s="7">
        <v>31</v>
      </c>
      <c r="D58" s="8">
        <v>7.9122001020929048E-3</v>
      </c>
    </row>
    <row r="59" spans="1:4" x14ac:dyDescent="0.3">
      <c r="A59" s="4" t="s">
        <v>6</v>
      </c>
      <c r="B59" s="4" t="s">
        <v>46</v>
      </c>
      <c r="C59" s="7">
        <v>30</v>
      </c>
      <c r="D59" s="8">
        <v>7.656967840735069E-3</v>
      </c>
    </row>
    <row r="60" spans="1:4" x14ac:dyDescent="0.3">
      <c r="A60" s="4" t="s">
        <v>6</v>
      </c>
      <c r="B60" s="4" t="s">
        <v>47</v>
      </c>
      <c r="C60" s="7">
        <v>1</v>
      </c>
      <c r="D60" s="8">
        <v>2.5523226135783564E-4</v>
      </c>
    </row>
    <row r="61" spans="1:4" x14ac:dyDescent="0.3">
      <c r="A61" s="4" t="s">
        <v>7</v>
      </c>
      <c r="B61" s="4" t="s">
        <v>43</v>
      </c>
      <c r="C61" s="7">
        <v>6610</v>
      </c>
      <c r="D61" s="8">
        <v>0.71420853592652622</v>
      </c>
    </row>
    <row r="62" spans="1:4" x14ac:dyDescent="0.3">
      <c r="A62" s="4" t="s">
        <v>7</v>
      </c>
      <c r="B62" s="4" t="s">
        <v>44</v>
      </c>
      <c r="C62" s="7">
        <v>982</v>
      </c>
      <c r="D62" s="8">
        <v>0.10610480821177742</v>
      </c>
    </row>
    <row r="63" spans="1:4" x14ac:dyDescent="0.3">
      <c r="A63" s="4" t="s">
        <v>7</v>
      </c>
      <c r="B63" s="4" t="s">
        <v>48</v>
      </c>
      <c r="C63" s="7">
        <v>739</v>
      </c>
      <c r="D63" s="8">
        <v>7.9848730415991359E-2</v>
      </c>
    </row>
    <row r="64" spans="1:4" x14ac:dyDescent="0.3">
      <c r="A64" s="4" t="s">
        <v>7</v>
      </c>
      <c r="B64" s="4" t="s">
        <v>60</v>
      </c>
      <c r="C64" s="7">
        <v>265</v>
      </c>
      <c r="D64" s="8">
        <v>2.8633171258779039E-2</v>
      </c>
    </row>
    <row r="65" spans="1:4" x14ac:dyDescent="0.3">
      <c r="A65" s="4" t="s">
        <v>7</v>
      </c>
      <c r="B65" s="4" t="s">
        <v>61</v>
      </c>
      <c r="C65" s="7">
        <v>211</v>
      </c>
      <c r="D65" s="8">
        <v>2.2798487304159915E-2</v>
      </c>
    </row>
    <row r="66" spans="1:4" x14ac:dyDescent="0.3">
      <c r="A66" s="4" t="s">
        <v>7</v>
      </c>
      <c r="B66" s="4" t="s">
        <v>46</v>
      </c>
      <c r="C66" s="7">
        <v>178</v>
      </c>
      <c r="D66" s="8">
        <v>1.9232847109670447E-2</v>
      </c>
    </row>
    <row r="67" spans="1:4" x14ac:dyDescent="0.3">
      <c r="A67" s="4" t="s">
        <v>7</v>
      </c>
      <c r="B67" s="4" t="s">
        <v>62</v>
      </c>
      <c r="C67" s="7">
        <v>92</v>
      </c>
      <c r="D67" s="8">
        <v>9.9405726634251759E-3</v>
      </c>
    </row>
    <row r="68" spans="1:4" x14ac:dyDescent="0.3">
      <c r="A68" s="4" t="s">
        <v>7</v>
      </c>
      <c r="B68" s="4" t="s">
        <v>47</v>
      </c>
      <c r="C68" s="7">
        <v>83</v>
      </c>
      <c r="D68" s="8">
        <v>8.9681253376553208E-3</v>
      </c>
    </row>
    <row r="69" spans="1:4" x14ac:dyDescent="0.3">
      <c r="A69" s="4" t="s">
        <v>7</v>
      </c>
      <c r="B69" s="4" t="s">
        <v>63</v>
      </c>
      <c r="C69" s="7">
        <v>43</v>
      </c>
      <c r="D69" s="8">
        <v>4.6461372231226365E-3</v>
      </c>
    </row>
    <row r="70" spans="1:4" x14ac:dyDescent="0.3">
      <c r="A70" s="4" t="s">
        <v>7</v>
      </c>
      <c r="B70" s="4" t="s">
        <v>64</v>
      </c>
      <c r="C70" s="7">
        <v>26</v>
      </c>
      <c r="D70" s="8">
        <v>2.8092922744462454E-3</v>
      </c>
    </row>
    <row r="71" spans="1:4" x14ac:dyDescent="0.3">
      <c r="A71" s="4" t="s">
        <v>7</v>
      </c>
      <c r="B71" s="4" t="s">
        <v>49</v>
      </c>
      <c r="C71" s="7">
        <v>6</v>
      </c>
      <c r="D71" s="8">
        <v>6.482982171799027E-4</v>
      </c>
    </row>
    <row r="72" spans="1:4" x14ac:dyDescent="0.3">
      <c r="A72" s="4" t="s">
        <v>7</v>
      </c>
      <c r="B72" s="4" t="s">
        <v>65</v>
      </c>
      <c r="C72" s="7">
        <v>4</v>
      </c>
      <c r="D72" s="8">
        <v>4.3219881145326852E-4</v>
      </c>
    </row>
    <row r="73" spans="1:4" x14ac:dyDescent="0.3">
      <c r="A73" s="4" t="s">
        <v>7</v>
      </c>
      <c r="B73" s="4" t="s">
        <v>66</v>
      </c>
      <c r="C73" s="7">
        <v>4</v>
      </c>
      <c r="D73" s="8">
        <v>4.3219881145326852E-4</v>
      </c>
    </row>
    <row r="74" spans="1:4" x14ac:dyDescent="0.3">
      <c r="A74" s="4" t="s">
        <v>7</v>
      </c>
      <c r="B74" s="4" t="s">
        <v>67</v>
      </c>
      <c r="C74" s="7">
        <v>4</v>
      </c>
      <c r="D74" s="8">
        <v>4.3219881145326852E-4</v>
      </c>
    </row>
    <row r="75" spans="1:4" x14ac:dyDescent="0.3">
      <c r="A75" s="4" t="s">
        <v>7</v>
      </c>
      <c r="B75" s="4" t="s">
        <v>53</v>
      </c>
      <c r="C75" s="7">
        <v>3</v>
      </c>
      <c r="D75" s="8">
        <v>3.2414910858995135E-4</v>
      </c>
    </row>
    <row r="76" spans="1:4" x14ac:dyDescent="0.3">
      <c r="A76" s="4" t="s">
        <v>7</v>
      </c>
      <c r="B76" s="4" t="s">
        <v>68</v>
      </c>
      <c r="C76" s="7">
        <v>2</v>
      </c>
      <c r="D76" s="8">
        <v>2.1609940572663426E-4</v>
      </c>
    </row>
    <row r="77" spans="1:4" x14ac:dyDescent="0.3">
      <c r="A77" s="4" t="s">
        <v>7</v>
      </c>
      <c r="B77" s="4" t="s">
        <v>52</v>
      </c>
      <c r="C77" s="7">
        <v>1</v>
      </c>
      <c r="D77" s="8">
        <v>1.0804970286331713E-4</v>
      </c>
    </row>
    <row r="78" spans="1:4" x14ac:dyDescent="0.3">
      <c r="A78" s="4" t="s">
        <v>7</v>
      </c>
      <c r="B78" s="4" t="s">
        <v>69</v>
      </c>
      <c r="C78" s="7">
        <v>1</v>
      </c>
      <c r="D78" s="8">
        <v>1.0804970286331713E-4</v>
      </c>
    </row>
    <row r="79" spans="1:4" x14ac:dyDescent="0.3">
      <c r="A79" s="4" t="s">
        <v>7</v>
      </c>
      <c r="B79" s="4" t="s">
        <v>54</v>
      </c>
      <c r="C79" s="7">
        <v>1</v>
      </c>
      <c r="D79" s="8">
        <v>1.0804970286331713E-4</v>
      </c>
    </row>
    <row r="80" spans="1:4" x14ac:dyDescent="0.3">
      <c r="A80" s="4" t="s">
        <v>8</v>
      </c>
      <c r="B80" s="4" t="s">
        <v>43</v>
      </c>
      <c r="C80" s="7">
        <v>2261</v>
      </c>
      <c r="D80" s="8">
        <v>0.61373507057546151</v>
      </c>
    </row>
    <row r="81" spans="1:4" x14ac:dyDescent="0.3">
      <c r="A81" s="4" t="s">
        <v>8</v>
      </c>
      <c r="B81" s="4" t="s">
        <v>50</v>
      </c>
      <c r="C81" s="7">
        <v>1093</v>
      </c>
      <c r="D81" s="8">
        <v>0.29668838219326821</v>
      </c>
    </row>
    <row r="82" spans="1:4" x14ac:dyDescent="0.3">
      <c r="A82" s="4" t="s">
        <v>8</v>
      </c>
      <c r="B82" s="4" t="s">
        <v>53</v>
      </c>
      <c r="C82" s="7">
        <v>185</v>
      </c>
      <c r="D82" s="8">
        <v>5.0217155266015202E-2</v>
      </c>
    </row>
    <row r="83" spans="1:4" x14ac:dyDescent="0.3">
      <c r="A83" s="4" t="s">
        <v>8</v>
      </c>
      <c r="B83" s="4" t="s">
        <v>55</v>
      </c>
      <c r="C83" s="7">
        <v>83</v>
      </c>
      <c r="D83" s="8">
        <v>2.252985884907709E-2</v>
      </c>
    </row>
    <row r="84" spans="1:4" x14ac:dyDescent="0.3">
      <c r="A84" s="4" t="s">
        <v>8</v>
      </c>
      <c r="B84" s="4" t="s">
        <v>48</v>
      </c>
      <c r="C84" s="7">
        <v>50</v>
      </c>
      <c r="D84" s="8">
        <v>1.3572204125950055E-2</v>
      </c>
    </row>
    <row r="85" spans="1:4" x14ac:dyDescent="0.3">
      <c r="A85" s="4" t="s">
        <v>8</v>
      </c>
      <c r="B85" s="4" t="s">
        <v>45</v>
      </c>
      <c r="C85" s="7">
        <v>7</v>
      </c>
      <c r="D85" s="8">
        <v>1.9001085776330076E-3</v>
      </c>
    </row>
    <row r="86" spans="1:4" x14ac:dyDescent="0.3">
      <c r="A86" s="4" t="s">
        <v>8</v>
      </c>
      <c r="B86" s="4" t="s">
        <v>44</v>
      </c>
      <c r="C86" s="7">
        <v>3</v>
      </c>
      <c r="D86" s="8">
        <v>8.1433224755700329E-4</v>
      </c>
    </row>
    <row r="87" spans="1:4" x14ac:dyDescent="0.3">
      <c r="A87" s="4" t="s">
        <v>8</v>
      </c>
      <c r="B87" s="4" t="s">
        <v>57</v>
      </c>
      <c r="C87" s="7">
        <v>2</v>
      </c>
      <c r="D87" s="8">
        <v>5.428881650380022E-4</v>
      </c>
    </row>
    <row r="88" spans="1:4" x14ac:dyDescent="0.3">
      <c r="A88" s="4" t="s">
        <v>9</v>
      </c>
      <c r="B88" s="4" t="s">
        <v>44</v>
      </c>
      <c r="C88" s="7">
        <v>25089</v>
      </c>
      <c r="D88" s="8">
        <v>0.47948399426660299</v>
      </c>
    </row>
    <row r="89" spans="1:4" x14ac:dyDescent="0.3">
      <c r="A89" s="4" t="s">
        <v>9</v>
      </c>
      <c r="B89" s="4" t="s">
        <v>43</v>
      </c>
      <c r="C89" s="7">
        <v>24788</v>
      </c>
      <c r="D89" s="8">
        <v>0.47373148590539893</v>
      </c>
    </row>
    <row r="90" spans="1:4" x14ac:dyDescent="0.3">
      <c r="A90" s="4" t="s">
        <v>9</v>
      </c>
      <c r="B90" s="4" t="s">
        <v>46</v>
      </c>
      <c r="C90" s="7">
        <v>1624</v>
      </c>
      <c r="D90" s="8">
        <v>3.1036789297658861E-2</v>
      </c>
    </row>
    <row r="91" spans="1:4" x14ac:dyDescent="0.3">
      <c r="A91" s="4" t="s">
        <v>9</v>
      </c>
      <c r="B91" s="4" t="s">
        <v>45</v>
      </c>
      <c r="C91" s="7">
        <v>467</v>
      </c>
      <c r="D91" s="8">
        <v>8.9249880554228382E-3</v>
      </c>
    </row>
    <row r="92" spans="1:4" x14ac:dyDescent="0.3">
      <c r="A92" s="4" t="s">
        <v>9</v>
      </c>
      <c r="B92" s="4" t="s">
        <v>48</v>
      </c>
      <c r="C92" s="7">
        <v>297</v>
      </c>
      <c r="D92" s="8">
        <v>5.6760630673674149E-3</v>
      </c>
    </row>
    <row r="93" spans="1:4" x14ac:dyDescent="0.3">
      <c r="A93" s="4" t="s">
        <v>9</v>
      </c>
      <c r="B93" s="4" t="s">
        <v>47</v>
      </c>
      <c r="C93" s="7">
        <v>32</v>
      </c>
      <c r="D93" s="8">
        <v>6.1156235069278542E-4</v>
      </c>
    </row>
    <row r="94" spans="1:4" x14ac:dyDescent="0.3">
      <c r="A94" s="4" t="s">
        <v>9</v>
      </c>
      <c r="B94" s="4" t="s">
        <v>49</v>
      </c>
      <c r="C94" s="7">
        <v>18</v>
      </c>
      <c r="D94" s="8">
        <v>3.4400382226469183E-4</v>
      </c>
    </row>
    <row r="95" spans="1:4" x14ac:dyDescent="0.3">
      <c r="A95" s="4" t="s">
        <v>9</v>
      </c>
      <c r="B95" s="4" t="s">
        <v>57</v>
      </c>
      <c r="C95" s="7">
        <v>10</v>
      </c>
      <c r="D95" s="8">
        <v>1.9111323459149545E-4</v>
      </c>
    </row>
    <row r="96" spans="1:4" x14ac:dyDescent="0.3">
      <c r="A96" s="4" t="s">
        <v>10</v>
      </c>
      <c r="B96" s="4" t="s">
        <v>43</v>
      </c>
      <c r="C96" s="7">
        <v>30367</v>
      </c>
      <c r="D96" s="8">
        <v>0.64635392277893666</v>
      </c>
    </row>
    <row r="97" spans="1:4" x14ac:dyDescent="0.3">
      <c r="A97" s="4" t="s">
        <v>10</v>
      </c>
      <c r="B97" s="4" t="s">
        <v>45</v>
      </c>
      <c r="C97" s="7">
        <v>7901</v>
      </c>
      <c r="D97" s="8">
        <v>0.16817078881273678</v>
      </c>
    </row>
    <row r="98" spans="1:4" x14ac:dyDescent="0.3">
      <c r="A98" s="4" t="s">
        <v>10</v>
      </c>
      <c r="B98" s="4" t="s">
        <v>48</v>
      </c>
      <c r="C98" s="7">
        <v>5120</v>
      </c>
      <c r="D98" s="8">
        <v>0.10897790643225065</v>
      </c>
    </row>
    <row r="99" spans="1:4" x14ac:dyDescent="0.3">
      <c r="A99" s="4" t="s">
        <v>10</v>
      </c>
      <c r="B99" s="4" t="s">
        <v>44</v>
      </c>
      <c r="C99" s="7">
        <v>1890</v>
      </c>
      <c r="D99" s="8">
        <v>4.0228172491592523E-2</v>
      </c>
    </row>
    <row r="100" spans="1:4" x14ac:dyDescent="0.3">
      <c r="A100" s="4" t="s">
        <v>10</v>
      </c>
      <c r="B100" s="4" t="s">
        <v>47</v>
      </c>
      <c r="C100" s="7">
        <v>1033</v>
      </c>
      <c r="D100" s="8">
        <v>2.198714401260057E-2</v>
      </c>
    </row>
    <row r="101" spans="1:4" x14ac:dyDescent="0.3">
      <c r="A101" s="4" t="s">
        <v>10</v>
      </c>
      <c r="B101" s="4" t="s">
        <v>49</v>
      </c>
      <c r="C101" s="7">
        <v>378</v>
      </c>
      <c r="D101" s="8">
        <v>8.0456344983185057E-3</v>
      </c>
    </row>
    <row r="102" spans="1:4" x14ac:dyDescent="0.3">
      <c r="A102" s="4" t="s">
        <v>10</v>
      </c>
      <c r="B102" s="4" t="s">
        <v>51</v>
      </c>
      <c r="C102" s="7">
        <v>131</v>
      </c>
      <c r="D102" s="8">
        <v>2.7883019028564133E-3</v>
      </c>
    </row>
    <row r="103" spans="1:4" x14ac:dyDescent="0.3">
      <c r="A103" s="4" t="s">
        <v>10</v>
      </c>
      <c r="B103" s="4" t="s">
        <v>46</v>
      </c>
      <c r="C103" s="7">
        <v>118</v>
      </c>
      <c r="D103" s="8">
        <v>2.5116001873057765E-3</v>
      </c>
    </row>
    <row r="104" spans="1:4" x14ac:dyDescent="0.3">
      <c r="A104" s="4" t="s">
        <v>10</v>
      </c>
      <c r="B104" s="4" t="s">
        <v>57</v>
      </c>
      <c r="C104" s="7">
        <v>22</v>
      </c>
      <c r="D104" s="8">
        <v>4.68264441701077E-4</v>
      </c>
    </row>
    <row r="105" spans="1:4" x14ac:dyDescent="0.3">
      <c r="A105" s="4" t="s">
        <v>10</v>
      </c>
      <c r="B105" s="4" t="s">
        <v>70</v>
      </c>
      <c r="C105" s="7">
        <v>18</v>
      </c>
      <c r="D105" s="8">
        <v>3.8312545230088121E-4</v>
      </c>
    </row>
    <row r="106" spans="1:4" x14ac:dyDescent="0.3">
      <c r="A106" s="4" t="s">
        <v>10</v>
      </c>
      <c r="B106" s="4" t="s">
        <v>71</v>
      </c>
      <c r="C106" s="7">
        <v>1</v>
      </c>
      <c r="D106" s="8">
        <v>2.1284747350048954E-5</v>
      </c>
    </row>
    <row r="107" spans="1:4" x14ac:dyDescent="0.3">
      <c r="A107" s="4" t="s">
        <v>10</v>
      </c>
      <c r="B107" s="4" t="s">
        <v>54</v>
      </c>
      <c r="C107" s="7">
        <v>1</v>
      </c>
      <c r="D107" s="8">
        <v>2.1284747350048954E-5</v>
      </c>
    </row>
    <row r="108" spans="1:4" x14ac:dyDescent="0.3">
      <c r="A108" s="4" t="s">
        <v>10</v>
      </c>
      <c r="B108" s="4" t="s">
        <v>65</v>
      </c>
      <c r="C108" s="7">
        <v>1</v>
      </c>
      <c r="D108" s="8">
        <v>2.1284747350048954E-5</v>
      </c>
    </row>
    <row r="109" spans="1:4" x14ac:dyDescent="0.3">
      <c r="A109" s="4" t="s">
        <v>10</v>
      </c>
      <c r="B109" s="4" t="s">
        <v>52</v>
      </c>
      <c r="C109" s="7">
        <v>1</v>
      </c>
      <c r="D109" s="8">
        <v>2.1284747350048954E-5</v>
      </c>
    </row>
    <row r="110" spans="1:4" x14ac:dyDescent="0.3">
      <c r="A110" s="4" t="s">
        <v>11</v>
      </c>
      <c r="B110" s="4" t="s">
        <v>43</v>
      </c>
      <c r="C110" s="7">
        <v>290372</v>
      </c>
      <c r="D110" s="8">
        <v>0.8767905886900017</v>
      </c>
    </row>
    <row r="111" spans="1:4" x14ac:dyDescent="0.3">
      <c r="A111" s="4" t="s">
        <v>11</v>
      </c>
      <c r="B111" s="4" t="s">
        <v>45</v>
      </c>
      <c r="C111" s="7">
        <v>26671</v>
      </c>
      <c r="D111" s="8">
        <v>8.0534217455371163E-2</v>
      </c>
    </row>
    <row r="112" spans="1:4" x14ac:dyDescent="0.3">
      <c r="A112" s="4" t="s">
        <v>11</v>
      </c>
      <c r="B112" s="4" t="s">
        <v>44</v>
      </c>
      <c r="C112" s="7">
        <v>8697</v>
      </c>
      <c r="D112" s="8">
        <v>2.6260960939198493E-2</v>
      </c>
    </row>
    <row r="113" spans="1:4" x14ac:dyDescent="0.3">
      <c r="A113" s="4" t="s">
        <v>11</v>
      </c>
      <c r="B113" s="4" t="s">
        <v>55</v>
      </c>
      <c r="C113" s="7">
        <v>4737</v>
      </c>
      <c r="D113" s="8">
        <v>1.4303572722661062E-2</v>
      </c>
    </row>
    <row r="114" spans="1:4" x14ac:dyDescent="0.3">
      <c r="A114" s="4" t="s">
        <v>11</v>
      </c>
      <c r="B114" s="4" t="s">
        <v>53</v>
      </c>
      <c r="C114" s="7">
        <v>511</v>
      </c>
      <c r="D114" s="8">
        <v>1.5429862067299564E-3</v>
      </c>
    </row>
    <row r="115" spans="1:4" x14ac:dyDescent="0.3">
      <c r="A115" s="4" t="s">
        <v>11</v>
      </c>
      <c r="B115" s="4" t="s">
        <v>56</v>
      </c>
      <c r="C115" s="7">
        <v>111</v>
      </c>
      <c r="D115" s="8">
        <v>3.3516921516051887E-4</v>
      </c>
    </row>
    <row r="116" spans="1:4" x14ac:dyDescent="0.3">
      <c r="A116" s="4" t="s">
        <v>11</v>
      </c>
      <c r="B116" s="4" t="s">
        <v>48</v>
      </c>
      <c r="C116" s="7">
        <v>56</v>
      </c>
      <c r="D116" s="8">
        <v>1.6909437881972123E-4</v>
      </c>
    </row>
    <row r="117" spans="1:4" x14ac:dyDescent="0.3">
      <c r="A117" s="4" t="s">
        <v>11</v>
      </c>
      <c r="B117" s="4" t="s">
        <v>58</v>
      </c>
      <c r="C117" s="7">
        <v>9</v>
      </c>
      <c r="D117" s="8">
        <v>2.7175882310312342E-5</v>
      </c>
    </row>
    <row r="118" spans="1:4" x14ac:dyDescent="0.3">
      <c r="A118" s="4" t="s">
        <v>11</v>
      </c>
      <c r="B118" s="4" t="s">
        <v>47</v>
      </c>
      <c r="C118" s="7">
        <v>6</v>
      </c>
      <c r="D118" s="8">
        <v>1.8117254873541563E-5</v>
      </c>
    </row>
    <row r="119" spans="1:4" x14ac:dyDescent="0.3">
      <c r="A119" s="4" t="s">
        <v>11</v>
      </c>
      <c r="B119" s="4" t="s">
        <v>57</v>
      </c>
      <c r="C119" s="7">
        <v>2</v>
      </c>
      <c r="D119" s="8">
        <v>6.039084957847187E-6</v>
      </c>
    </row>
    <row r="120" spans="1:4" x14ac:dyDescent="0.3">
      <c r="A120" s="4" t="s">
        <v>11</v>
      </c>
      <c r="B120" s="4" t="s">
        <v>50</v>
      </c>
      <c r="C120" s="7">
        <v>2</v>
      </c>
      <c r="D120" s="8">
        <v>6.039084957847187E-6</v>
      </c>
    </row>
    <row r="121" spans="1:4" x14ac:dyDescent="0.3">
      <c r="A121" s="4" t="s">
        <v>11</v>
      </c>
      <c r="B121" s="4" t="s">
        <v>52</v>
      </c>
      <c r="C121" s="7">
        <v>1</v>
      </c>
      <c r="D121" s="8">
        <v>3.0195424789235935E-6</v>
      </c>
    </row>
    <row r="122" spans="1:4" x14ac:dyDescent="0.3">
      <c r="A122" s="4" t="s">
        <v>11</v>
      </c>
      <c r="B122" s="4" t="s">
        <v>54</v>
      </c>
      <c r="C122" s="7">
        <v>1</v>
      </c>
      <c r="D122" s="8">
        <v>3.0195424789235935E-6</v>
      </c>
    </row>
    <row r="123" spans="1:4" x14ac:dyDescent="0.3">
      <c r="A123" s="4" t="s">
        <v>12</v>
      </c>
      <c r="B123" s="4" t="s">
        <v>43</v>
      </c>
      <c r="C123" s="7">
        <v>44586</v>
      </c>
      <c r="D123" s="8">
        <v>0.63936330393633034</v>
      </c>
    </row>
    <row r="124" spans="1:4" x14ac:dyDescent="0.3">
      <c r="A124" s="4" t="s">
        <v>12</v>
      </c>
      <c r="B124" s="4" t="s">
        <v>45</v>
      </c>
      <c r="C124" s="7">
        <v>13178</v>
      </c>
      <c r="D124" s="8">
        <v>0.18897253889725388</v>
      </c>
    </row>
    <row r="125" spans="1:4" x14ac:dyDescent="0.3">
      <c r="A125" s="4" t="s">
        <v>12</v>
      </c>
      <c r="B125" s="4" t="s">
        <v>49</v>
      </c>
      <c r="C125" s="7">
        <v>6214</v>
      </c>
      <c r="D125" s="8">
        <v>8.9108768910876893E-2</v>
      </c>
    </row>
    <row r="126" spans="1:4" x14ac:dyDescent="0.3">
      <c r="A126" s="4" t="s">
        <v>12</v>
      </c>
      <c r="B126" s="4" t="s">
        <v>55</v>
      </c>
      <c r="C126" s="7">
        <v>2703</v>
      </c>
      <c r="D126" s="8">
        <v>3.8761023876102391E-2</v>
      </c>
    </row>
    <row r="127" spans="1:4" x14ac:dyDescent="0.3">
      <c r="A127" s="4" t="s">
        <v>12</v>
      </c>
      <c r="B127" s="4" t="s">
        <v>46</v>
      </c>
      <c r="C127" s="7">
        <v>1299</v>
      </c>
      <c r="D127" s="8">
        <v>1.8627661862766185E-2</v>
      </c>
    </row>
    <row r="128" spans="1:4" x14ac:dyDescent="0.3">
      <c r="A128" s="4" t="s">
        <v>12</v>
      </c>
      <c r="B128" s="4" t="s">
        <v>44</v>
      </c>
      <c r="C128" s="7">
        <v>1133</v>
      </c>
      <c r="D128" s="8">
        <v>1.6247221624722162E-2</v>
      </c>
    </row>
    <row r="129" spans="1:4" x14ac:dyDescent="0.3">
      <c r="A129" s="4" t="s">
        <v>12</v>
      </c>
      <c r="B129" s="4" t="s">
        <v>50</v>
      </c>
      <c r="C129" s="7">
        <v>499</v>
      </c>
      <c r="D129" s="8">
        <v>7.1556607155660711E-3</v>
      </c>
    </row>
    <row r="130" spans="1:4" x14ac:dyDescent="0.3">
      <c r="A130" s="4" t="s">
        <v>12</v>
      </c>
      <c r="B130" s="4" t="s">
        <v>47</v>
      </c>
      <c r="C130" s="7">
        <v>82</v>
      </c>
      <c r="D130" s="8">
        <v>1.1758801175880118E-3</v>
      </c>
    </row>
    <row r="131" spans="1:4" x14ac:dyDescent="0.3">
      <c r="A131" s="4" t="s">
        <v>12</v>
      </c>
      <c r="B131" s="4" t="s">
        <v>59</v>
      </c>
      <c r="C131" s="7">
        <v>18</v>
      </c>
      <c r="D131" s="8">
        <v>2.5812002581200258E-4</v>
      </c>
    </row>
    <row r="132" spans="1:4" x14ac:dyDescent="0.3">
      <c r="A132" s="4" t="s">
        <v>12</v>
      </c>
      <c r="B132" s="4" t="s">
        <v>71</v>
      </c>
      <c r="C132" s="7">
        <v>14</v>
      </c>
      <c r="D132" s="8">
        <v>2.00760020076002E-4</v>
      </c>
    </row>
    <row r="133" spans="1:4" x14ac:dyDescent="0.3">
      <c r="A133" s="4" t="s">
        <v>12</v>
      </c>
      <c r="B133" s="4" t="s">
        <v>48</v>
      </c>
      <c r="C133" s="7">
        <v>3</v>
      </c>
      <c r="D133" s="8">
        <v>4.3020004302000431E-5</v>
      </c>
    </row>
    <row r="134" spans="1:4" x14ac:dyDescent="0.3">
      <c r="A134" s="4" t="s">
        <v>12</v>
      </c>
      <c r="B134" s="4" t="s">
        <v>65</v>
      </c>
      <c r="C134" s="7">
        <v>3</v>
      </c>
      <c r="D134" s="8">
        <v>4.3020004302000431E-5</v>
      </c>
    </row>
    <row r="135" spans="1:4" x14ac:dyDescent="0.3">
      <c r="A135" s="4" t="s">
        <v>12</v>
      </c>
      <c r="B135" s="4" t="s">
        <v>58</v>
      </c>
      <c r="C135" s="7">
        <v>1</v>
      </c>
      <c r="D135" s="8">
        <v>1.4340001434000144E-5</v>
      </c>
    </row>
    <row r="136" spans="1:4" x14ac:dyDescent="0.3">
      <c r="A136" s="4" t="s">
        <v>12</v>
      </c>
      <c r="B136" s="4" t="s">
        <v>57</v>
      </c>
      <c r="C136" s="7">
        <v>1</v>
      </c>
      <c r="D136" s="8">
        <v>1.4340001434000144E-5</v>
      </c>
    </row>
    <row r="137" spans="1:4" x14ac:dyDescent="0.3">
      <c r="A137" s="4" t="s">
        <v>12</v>
      </c>
      <c r="B137" s="4" t="s">
        <v>53</v>
      </c>
      <c r="C137" s="7">
        <v>1</v>
      </c>
      <c r="D137" s="8">
        <v>1.4340001434000144E-5</v>
      </c>
    </row>
    <row r="138" spans="1:4" x14ac:dyDescent="0.3">
      <c r="A138" s="4" t="s">
        <v>13</v>
      </c>
      <c r="B138" s="4" t="s">
        <v>43</v>
      </c>
      <c r="C138" s="7">
        <v>42641</v>
      </c>
      <c r="D138" s="8">
        <v>0.68648474603557919</v>
      </c>
    </row>
    <row r="139" spans="1:4" x14ac:dyDescent="0.3">
      <c r="A139" s="4" t="s">
        <v>13</v>
      </c>
      <c r="B139" s="4" t="s">
        <v>50</v>
      </c>
      <c r="C139" s="7">
        <v>15626</v>
      </c>
      <c r="D139" s="8">
        <v>0.251565644369315</v>
      </c>
    </row>
    <row r="140" spans="1:4" x14ac:dyDescent="0.3">
      <c r="A140" s="4" t="s">
        <v>13</v>
      </c>
      <c r="B140" s="4" t="s">
        <v>45</v>
      </c>
      <c r="C140" s="7">
        <v>1964</v>
      </c>
      <c r="D140" s="8">
        <v>3.1618771633260885E-2</v>
      </c>
    </row>
    <row r="141" spans="1:4" x14ac:dyDescent="0.3">
      <c r="A141" s="4" t="s">
        <v>13</v>
      </c>
      <c r="B141" s="4" t="s">
        <v>48</v>
      </c>
      <c r="C141" s="7">
        <v>566</v>
      </c>
      <c r="D141" s="8">
        <v>9.1121307252676493E-3</v>
      </c>
    </row>
    <row r="142" spans="1:4" x14ac:dyDescent="0.3">
      <c r="A142" s="4" t="s">
        <v>13</v>
      </c>
      <c r="B142" s="4" t="s">
        <v>44</v>
      </c>
      <c r="C142" s="7">
        <v>517</v>
      </c>
      <c r="D142" s="8">
        <v>8.3232713515253957E-3</v>
      </c>
    </row>
    <row r="143" spans="1:4" x14ac:dyDescent="0.3">
      <c r="A143" s="4" t="s">
        <v>13</v>
      </c>
      <c r="B143" s="4" t="s">
        <v>55</v>
      </c>
      <c r="C143" s="7">
        <v>250</v>
      </c>
      <c r="D143" s="8">
        <v>4.0247927231747563E-3</v>
      </c>
    </row>
    <row r="144" spans="1:4" x14ac:dyDescent="0.3">
      <c r="A144" s="4" t="s">
        <v>13</v>
      </c>
      <c r="B144" s="4" t="s">
        <v>70</v>
      </c>
      <c r="C144" s="7">
        <v>228</v>
      </c>
      <c r="D144" s="8">
        <v>3.6706109635353777E-3</v>
      </c>
    </row>
    <row r="145" spans="1:4" x14ac:dyDescent="0.3">
      <c r="A145" s="4" t="s">
        <v>13</v>
      </c>
      <c r="B145" s="4" t="s">
        <v>47</v>
      </c>
      <c r="C145" s="7">
        <v>101</v>
      </c>
      <c r="D145" s="8">
        <v>1.6260162601626016E-3</v>
      </c>
    </row>
    <row r="146" spans="1:4" x14ac:dyDescent="0.3">
      <c r="A146" s="4" t="s">
        <v>13</v>
      </c>
      <c r="B146" s="4" t="s">
        <v>46</v>
      </c>
      <c r="C146" s="7">
        <v>85</v>
      </c>
      <c r="D146" s="8">
        <v>1.3684295258794173E-3</v>
      </c>
    </row>
    <row r="147" spans="1:4" x14ac:dyDescent="0.3">
      <c r="A147" s="4" t="s">
        <v>13</v>
      </c>
      <c r="B147" s="4" t="s">
        <v>57</v>
      </c>
      <c r="C147" s="7">
        <v>30</v>
      </c>
      <c r="D147" s="8">
        <v>4.8297512678097078E-4</v>
      </c>
    </row>
    <row r="148" spans="1:4" x14ac:dyDescent="0.3">
      <c r="A148" s="4" t="s">
        <v>13</v>
      </c>
      <c r="B148" s="4" t="s">
        <v>58</v>
      </c>
      <c r="C148" s="7">
        <v>25</v>
      </c>
      <c r="D148" s="8">
        <v>4.0247927231747566E-4</v>
      </c>
    </row>
    <row r="149" spans="1:4" x14ac:dyDescent="0.3">
      <c r="A149" s="4" t="s">
        <v>13</v>
      </c>
      <c r="B149" s="4" t="s">
        <v>53</v>
      </c>
      <c r="C149" s="7">
        <v>22</v>
      </c>
      <c r="D149" s="8">
        <v>3.541817596393786E-4</v>
      </c>
    </row>
    <row r="150" spans="1:4" x14ac:dyDescent="0.3">
      <c r="A150" s="4" t="s">
        <v>13</v>
      </c>
      <c r="B150" s="4" t="s">
        <v>52</v>
      </c>
      <c r="C150" s="7">
        <v>21</v>
      </c>
      <c r="D150" s="8">
        <v>3.3808258874667952E-4</v>
      </c>
    </row>
    <row r="151" spans="1:4" x14ac:dyDescent="0.3">
      <c r="A151" s="4" t="s">
        <v>13</v>
      </c>
      <c r="B151" s="4" t="s">
        <v>49</v>
      </c>
      <c r="C151" s="7">
        <v>21</v>
      </c>
      <c r="D151" s="8">
        <v>3.3808258874667952E-4</v>
      </c>
    </row>
    <row r="152" spans="1:4" x14ac:dyDescent="0.3">
      <c r="A152" s="4" t="s">
        <v>13</v>
      </c>
      <c r="B152" s="4" t="s">
        <v>51</v>
      </c>
      <c r="C152" s="7">
        <v>15</v>
      </c>
      <c r="D152" s="8">
        <v>2.4148756339048539E-4</v>
      </c>
    </row>
    <row r="153" spans="1:4" x14ac:dyDescent="0.3">
      <c r="A153" s="4" t="s">
        <v>13</v>
      </c>
      <c r="B153" s="4" t="s">
        <v>56</v>
      </c>
      <c r="C153" s="7">
        <v>3</v>
      </c>
      <c r="D153" s="8">
        <v>4.829751267809708E-5</v>
      </c>
    </row>
    <row r="154" spans="1:4" x14ac:dyDescent="0.3">
      <c r="A154" s="4" t="s">
        <v>14</v>
      </c>
      <c r="B154" s="4" t="s">
        <v>43</v>
      </c>
      <c r="C154" s="7">
        <v>160217</v>
      </c>
      <c r="D154" s="8">
        <v>0.93788489006486053</v>
      </c>
    </row>
    <row r="155" spans="1:4" x14ac:dyDescent="0.3">
      <c r="A155" s="4" t="s">
        <v>14</v>
      </c>
      <c r="B155" s="4" t="s">
        <v>46</v>
      </c>
      <c r="C155" s="7">
        <v>2728</v>
      </c>
      <c r="D155" s="8">
        <v>1.5969279040906642E-2</v>
      </c>
    </row>
    <row r="156" spans="1:4" x14ac:dyDescent="0.3">
      <c r="A156" s="4" t="s">
        <v>14</v>
      </c>
      <c r="B156" s="4" t="s">
        <v>49</v>
      </c>
      <c r="C156" s="7">
        <v>2175</v>
      </c>
      <c r="D156" s="8">
        <v>1.2732104807174467E-2</v>
      </c>
    </row>
    <row r="157" spans="1:4" x14ac:dyDescent="0.3">
      <c r="A157" s="4" t="s">
        <v>14</v>
      </c>
      <c r="B157" s="4" t="s">
        <v>44</v>
      </c>
      <c r="C157" s="7">
        <v>1648</v>
      </c>
      <c r="D157" s="8">
        <v>9.6471304469993215E-3</v>
      </c>
    </row>
    <row r="158" spans="1:4" x14ac:dyDescent="0.3">
      <c r="A158" s="4" t="s">
        <v>14</v>
      </c>
      <c r="B158" s="4" t="s">
        <v>45</v>
      </c>
      <c r="C158" s="7">
        <v>1472</v>
      </c>
      <c r="D158" s="8">
        <v>8.616854379844054E-3</v>
      </c>
    </row>
    <row r="159" spans="1:4" x14ac:dyDescent="0.3">
      <c r="A159" s="4" t="s">
        <v>14</v>
      </c>
      <c r="B159" s="4" t="s">
        <v>47</v>
      </c>
      <c r="C159" s="7">
        <v>1020</v>
      </c>
      <c r="D159" s="8">
        <v>5.9709181164680266E-3</v>
      </c>
    </row>
    <row r="160" spans="1:4" x14ac:dyDescent="0.3">
      <c r="A160" s="4" t="s">
        <v>14</v>
      </c>
      <c r="B160" s="4" t="s">
        <v>68</v>
      </c>
      <c r="C160" s="7">
        <v>892</v>
      </c>
      <c r="D160" s="8">
        <v>5.2216264312641954E-3</v>
      </c>
    </row>
    <row r="161" spans="1:4" x14ac:dyDescent="0.3">
      <c r="A161" s="4" t="s">
        <v>14</v>
      </c>
      <c r="B161" s="4" t="s">
        <v>55</v>
      </c>
      <c r="C161" s="7">
        <v>392</v>
      </c>
      <c r="D161" s="8">
        <v>2.2947057859367317E-3</v>
      </c>
    </row>
    <row r="162" spans="1:4" x14ac:dyDescent="0.3">
      <c r="A162" s="4" t="s">
        <v>14</v>
      </c>
      <c r="B162" s="4" t="s">
        <v>71</v>
      </c>
      <c r="C162" s="7">
        <v>151</v>
      </c>
      <c r="D162" s="8">
        <v>8.8393003488889408E-4</v>
      </c>
    </row>
    <row r="163" spans="1:4" x14ac:dyDescent="0.3">
      <c r="A163" s="4" t="s">
        <v>14</v>
      </c>
      <c r="B163" s="4" t="s">
        <v>50</v>
      </c>
      <c r="C163" s="7">
        <v>28</v>
      </c>
      <c r="D163" s="8">
        <v>1.6390755613833797E-4</v>
      </c>
    </row>
    <row r="164" spans="1:4" x14ac:dyDescent="0.3">
      <c r="A164" s="4" t="s">
        <v>14</v>
      </c>
      <c r="B164" s="4" t="s">
        <v>59</v>
      </c>
      <c r="C164" s="7">
        <v>23</v>
      </c>
      <c r="D164" s="8">
        <v>1.3463834968506334E-4</v>
      </c>
    </row>
    <row r="165" spans="1:4" x14ac:dyDescent="0.3">
      <c r="A165" s="4" t="s">
        <v>14</v>
      </c>
      <c r="B165" s="4" t="s">
        <v>52</v>
      </c>
      <c r="C165" s="7">
        <v>22</v>
      </c>
      <c r="D165" s="8">
        <v>1.2878450839440842E-4</v>
      </c>
    </row>
    <row r="166" spans="1:4" x14ac:dyDescent="0.3">
      <c r="A166" s="4" t="s">
        <v>14</v>
      </c>
      <c r="B166" s="4" t="s">
        <v>57</v>
      </c>
      <c r="C166" s="7">
        <v>18</v>
      </c>
      <c r="D166" s="8">
        <v>1.0536914323178869E-4</v>
      </c>
    </row>
    <row r="167" spans="1:4" x14ac:dyDescent="0.3">
      <c r="A167" s="4" t="s">
        <v>14</v>
      </c>
      <c r="B167" s="4" t="s">
        <v>48</v>
      </c>
      <c r="C167" s="7">
        <v>16</v>
      </c>
      <c r="D167" s="8">
        <v>9.3661460650478845E-5</v>
      </c>
    </row>
    <row r="168" spans="1:4" x14ac:dyDescent="0.3">
      <c r="A168" s="4" t="s">
        <v>14</v>
      </c>
      <c r="B168" s="4" t="s">
        <v>53</v>
      </c>
      <c r="C168" s="7">
        <v>12</v>
      </c>
      <c r="D168" s="8">
        <v>7.0246095487859134E-5</v>
      </c>
    </row>
    <row r="169" spans="1:4" x14ac:dyDescent="0.3">
      <c r="A169" s="4" t="s">
        <v>14</v>
      </c>
      <c r="B169" s="4" t="s">
        <v>70</v>
      </c>
      <c r="C169" s="7">
        <v>6</v>
      </c>
      <c r="D169" s="8">
        <v>3.5123047743929567E-5</v>
      </c>
    </row>
    <row r="170" spans="1:4" x14ac:dyDescent="0.3">
      <c r="A170" s="4" t="s">
        <v>14</v>
      </c>
      <c r="B170" s="4" t="s">
        <v>65</v>
      </c>
      <c r="C170" s="7">
        <v>6</v>
      </c>
      <c r="D170" s="8">
        <v>3.5123047743929567E-5</v>
      </c>
    </row>
    <row r="171" spans="1:4" x14ac:dyDescent="0.3">
      <c r="A171" s="4" t="s">
        <v>14</v>
      </c>
      <c r="B171" s="4" t="s">
        <v>72</v>
      </c>
      <c r="C171" s="7">
        <v>2</v>
      </c>
      <c r="D171" s="8">
        <v>1.1707682581309856E-5</v>
      </c>
    </row>
    <row r="172" spans="1:4" x14ac:dyDescent="0.3">
      <c r="A172" s="4" t="s">
        <v>15</v>
      </c>
      <c r="B172" s="4" t="s">
        <v>43</v>
      </c>
      <c r="C172" s="7">
        <v>60502</v>
      </c>
      <c r="D172" s="8">
        <v>0.79772688316654139</v>
      </c>
    </row>
    <row r="173" spans="1:4" x14ac:dyDescent="0.3">
      <c r="A173" s="4" t="s">
        <v>15</v>
      </c>
      <c r="B173" s="4" t="s">
        <v>50</v>
      </c>
      <c r="C173" s="7">
        <v>5992</v>
      </c>
      <c r="D173" s="8">
        <v>7.9005313608375191E-2</v>
      </c>
    </row>
    <row r="174" spans="1:4" x14ac:dyDescent="0.3">
      <c r="A174" s="4" t="s">
        <v>15</v>
      </c>
      <c r="B174" s="4" t="s">
        <v>45</v>
      </c>
      <c r="C174" s="7">
        <v>4747</v>
      </c>
      <c r="D174" s="8">
        <v>6.2589823714779211E-2</v>
      </c>
    </row>
    <row r="175" spans="1:4" x14ac:dyDescent="0.3">
      <c r="A175" s="4" t="s">
        <v>15</v>
      </c>
      <c r="B175" s="4" t="s">
        <v>48</v>
      </c>
      <c r="C175" s="7">
        <v>2692</v>
      </c>
      <c r="D175" s="8">
        <v>3.5494376541012354E-2</v>
      </c>
    </row>
    <row r="176" spans="1:4" x14ac:dyDescent="0.3">
      <c r="A176" s="4" t="s">
        <v>15</v>
      </c>
      <c r="B176" s="4" t="s">
        <v>47</v>
      </c>
      <c r="C176" s="7">
        <v>643</v>
      </c>
      <c r="D176" s="8">
        <v>8.4780401619134263E-3</v>
      </c>
    </row>
    <row r="177" spans="1:4" x14ac:dyDescent="0.3">
      <c r="A177" s="4" t="s">
        <v>15</v>
      </c>
      <c r="B177" s="4" t="s">
        <v>46</v>
      </c>
      <c r="C177" s="7">
        <v>635</v>
      </c>
      <c r="D177" s="8">
        <v>8.3725591023561825E-3</v>
      </c>
    </row>
    <row r="178" spans="1:4" x14ac:dyDescent="0.3">
      <c r="A178" s="4" t="s">
        <v>15</v>
      </c>
      <c r="B178" s="4" t="s">
        <v>51</v>
      </c>
      <c r="C178" s="7">
        <v>162</v>
      </c>
      <c r="D178" s="8">
        <v>2.135991456034176E-3</v>
      </c>
    </row>
    <row r="179" spans="1:4" x14ac:dyDescent="0.3">
      <c r="A179" s="4" t="s">
        <v>15</v>
      </c>
      <c r="B179" s="4" t="s">
        <v>44</v>
      </c>
      <c r="C179" s="7">
        <v>156</v>
      </c>
      <c r="D179" s="8">
        <v>2.0568806613662435E-3</v>
      </c>
    </row>
    <row r="180" spans="1:4" x14ac:dyDescent="0.3">
      <c r="A180" s="4" t="s">
        <v>15</v>
      </c>
      <c r="B180" s="4" t="s">
        <v>58</v>
      </c>
      <c r="C180" s="7">
        <v>141</v>
      </c>
      <c r="D180" s="8">
        <v>1.8591036746964124E-3</v>
      </c>
    </row>
    <row r="181" spans="1:4" x14ac:dyDescent="0.3">
      <c r="A181" s="4" t="s">
        <v>15</v>
      </c>
      <c r="B181" s="4" t="s">
        <v>53</v>
      </c>
      <c r="C181" s="7">
        <v>104</v>
      </c>
      <c r="D181" s="8">
        <v>1.3712537742441623E-3</v>
      </c>
    </row>
    <row r="182" spans="1:4" x14ac:dyDescent="0.3">
      <c r="A182" s="4" t="s">
        <v>15</v>
      </c>
      <c r="B182" s="4" t="s">
        <v>73</v>
      </c>
      <c r="C182" s="7">
        <v>36</v>
      </c>
      <c r="D182" s="8">
        <v>4.7466476800759466E-4</v>
      </c>
    </row>
    <row r="183" spans="1:4" x14ac:dyDescent="0.3">
      <c r="A183" s="4" t="s">
        <v>15</v>
      </c>
      <c r="B183" s="4" t="s">
        <v>49</v>
      </c>
      <c r="C183" s="7">
        <v>11</v>
      </c>
      <c r="D183" s="8">
        <v>1.4503645689120946E-4</v>
      </c>
    </row>
    <row r="184" spans="1:4" x14ac:dyDescent="0.3">
      <c r="A184" s="4" t="s">
        <v>15</v>
      </c>
      <c r="B184" s="4" t="s">
        <v>55</v>
      </c>
      <c r="C184" s="7">
        <v>6</v>
      </c>
      <c r="D184" s="8">
        <v>7.9110794667932444E-5</v>
      </c>
    </row>
    <row r="185" spans="1:4" x14ac:dyDescent="0.3">
      <c r="A185" s="4" t="s">
        <v>15</v>
      </c>
      <c r="B185" s="4" t="s">
        <v>74</v>
      </c>
      <c r="C185" s="7">
        <v>5</v>
      </c>
      <c r="D185" s="8">
        <v>6.5925662223277032E-5</v>
      </c>
    </row>
    <row r="186" spans="1:4" x14ac:dyDescent="0.3">
      <c r="A186" s="4" t="s">
        <v>15</v>
      </c>
      <c r="B186" s="4" t="s">
        <v>71</v>
      </c>
      <c r="C186" s="7">
        <v>4</v>
      </c>
      <c r="D186" s="8">
        <v>5.2740529778621627E-5</v>
      </c>
    </row>
    <row r="187" spans="1:4" x14ac:dyDescent="0.3">
      <c r="A187" s="4" t="s">
        <v>15</v>
      </c>
      <c r="B187" s="4" t="s">
        <v>52</v>
      </c>
      <c r="C187" s="7">
        <v>4</v>
      </c>
      <c r="D187" s="8">
        <v>5.2740529778621627E-5</v>
      </c>
    </row>
    <row r="188" spans="1:4" x14ac:dyDescent="0.3">
      <c r="A188" s="4" t="s">
        <v>15</v>
      </c>
      <c r="B188" s="4" t="s">
        <v>65</v>
      </c>
      <c r="C188" s="7">
        <v>1</v>
      </c>
      <c r="D188" s="8">
        <v>1.3185132444655407E-5</v>
      </c>
    </row>
    <row r="189" spans="1:4" x14ac:dyDescent="0.3">
      <c r="A189" s="4" t="s">
        <v>15</v>
      </c>
      <c r="B189" s="4" t="s">
        <v>57</v>
      </c>
      <c r="C189" s="7">
        <v>1</v>
      </c>
      <c r="D189" s="8">
        <v>1.3185132444655407E-5</v>
      </c>
    </row>
    <row r="190" spans="1:4" x14ac:dyDescent="0.3">
      <c r="A190" s="4" t="s">
        <v>15</v>
      </c>
      <c r="B190" s="4" t="s">
        <v>70</v>
      </c>
      <c r="C190" s="7">
        <v>1</v>
      </c>
      <c r="D190" s="8">
        <v>1.3185132444655407E-5</v>
      </c>
    </row>
    <row r="191" spans="1:4" x14ac:dyDescent="0.3">
      <c r="A191" s="4" t="s">
        <v>16</v>
      </c>
      <c r="B191" s="4" t="s">
        <v>43</v>
      </c>
      <c r="C191" s="7">
        <v>8243</v>
      </c>
      <c r="D191" s="8">
        <v>0.45338540234310543</v>
      </c>
    </row>
    <row r="192" spans="1:4" x14ac:dyDescent="0.3">
      <c r="A192" s="4" t="s">
        <v>16</v>
      </c>
      <c r="B192" s="4" t="s">
        <v>50</v>
      </c>
      <c r="C192" s="7">
        <v>7810</v>
      </c>
      <c r="D192" s="8">
        <v>0.4295693306198779</v>
      </c>
    </row>
    <row r="193" spans="1:4" x14ac:dyDescent="0.3">
      <c r="A193" s="4" t="s">
        <v>16</v>
      </c>
      <c r="B193" s="4" t="s">
        <v>48</v>
      </c>
      <c r="C193" s="7">
        <v>1791</v>
      </c>
      <c r="D193" s="8">
        <v>9.8509432924481596E-2</v>
      </c>
    </row>
    <row r="194" spans="1:4" x14ac:dyDescent="0.3">
      <c r="A194" s="4" t="s">
        <v>16</v>
      </c>
      <c r="B194" s="4" t="s">
        <v>53</v>
      </c>
      <c r="C194" s="7">
        <v>157</v>
      </c>
      <c r="D194" s="8">
        <v>8.6353885924866612E-3</v>
      </c>
    </row>
    <row r="195" spans="1:4" x14ac:dyDescent="0.3">
      <c r="A195" s="4" t="s">
        <v>16</v>
      </c>
      <c r="B195" s="4" t="s">
        <v>46</v>
      </c>
      <c r="C195" s="7">
        <v>61</v>
      </c>
      <c r="D195" s="8">
        <v>3.3551509817941806E-3</v>
      </c>
    </row>
    <row r="196" spans="1:4" x14ac:dyDescent="0.3">
      <c r="A196" s="4" t="s">
        <v>16</v>
      </c>
      <c r="B196" s="4" t="s">
        <v>44</v>
      </c>
      <c r="C196" s="7">
        <v>44</v>
      </c>
      <c r="D196" s="8">
        <v>2.4201089049007206E-3</v>
      </c>
    </row>
    <row r="197" spans="1:4" x14ac:dyDescent="0.3">
      <c r="A197" s="4" t="s">
        <v>16</v>
      </c>
      <c r="B197" s="4" t="s">
        <v>47</v>
      </c>
      <c r="C197" s="7">
        <v>30</v>
      </c>
      <c r="D197" s="8">
        <v>1.6500742533414004E-3</v>
      </c>
    </row>
    <row r="198" spans="1:4" x14ac:dyDescent="0.3">
      <c r="A198" s="4" t="s">
        <v>16</v>
      </c>
      <c r="B198" s="4" t="s">
        <v>57</v>
      </c>
      <c r="C198" s="7">
        <v>22</v>
      </c>
      <c r="D198" s="8">
        <v>1.2100544524503603E-3</v>
      </c>
    </row>
    <row r="199" spans="1:4" x14ac:dyDescent="0.3">
      <c r="A199" s="4" t="s">
        <v>16</v>
      </c>
      <c r="B199" s="4" t="s">
        <v>45</v>
      </c>
      <c r="C199" s="7">
        <v>21</v>
      </c>
      <c r="D199" s="8">
        <v>1.1550519773389802E-3</v>
      </c>
    </row>
    <row r="200" spans="1:4" x14ac:dyDescent="0.3">
      <c r="A200" s="4" t="s">
        <v>16</v>
      </c>
      <c r="B200" s="4" t="s">
        <v>71</v>
      </c>
      <c r="C200" s="7">
        <v>1</v>
      </c>
      <c r="D200" s="8">
        <v>5.5002475111380014E-5</v>
      </c>
    </row>
    <row r="201" spans="1:4" x14ac:dyDescent="0.3">
      <c r="A201" s="4" t="s">
        <v>16</v>
      </c>
      <c r="B201" s="4" t="s">
        <v>59</v>
      </c>
      <c r="C201" s="7">
        <v>1</v>
      </c>
      <c r="D201" s="8">
        <v>5.5002475111380014E-5</v>
      </c>
    </row>
    <row r="202" spans="1:4" x14ac:dyDescent="0.3">
      <c r="A202" s="4" t="s">
        <v>17</v>
      </c>
      <c r="B202" s="4" t="s">
        <v>43</v>
      </c>
      <c r="C202" s="7">
        <v>11355</v>
      </c>
      <c r="D202" s="8">
        <v>0.40696007454662747</v>
      </c>
    </row>
    <row r="203" spans="1:4" x14ac:dyDescent="0.3">
      <c r="A203" s="4" t="s">
        <v>17</v>
      </c>
      <c r="B203" s="4" t="s">
        <v>44</v>
      </c>
      <c r="C203" s="7">
        <v>6120</v>
      </c>
      <c r="D203" s="8">
        <v>0.21933911547559315</v>
      </c>
    </row>
    <row r="204" spans="1:4" x14ac:dyDescent="0.3">
      <c r="A204" s="4" t="s">
        <v>17</v>
      </c>
      <c r="B204" s="4" t="s">
        <v>50</v>
      </c>
      <c r="C204" s="7">
        <v>5062</v>
      </c>
      <c r="D204" s="8">
        <v>0.18142068668912623</v>
      </c>
    </row>
    <row r="205" spans="1:4" x14ac:dyDescent="0.3">
      <c r="A205" s="4" t="s">
        <v>17</v>
      </c>
      <c r="B205" s="4" t="s">
        <v>48</v>
      </c>
      <c r="C205" s="7">
        <v>2429</v>
      </c>
      <c r="D205" s="8">
        <v>8.7054691419969896E-2</v>
      </c>
    </row>
    <row r="206" spans="1:4" x14ac:dyDescent="0.3">
      <c r="A206" s="4" t="s">
        <v>17</v>
      </c>
      <c r="B206" s="4" t="s">
        <v>55</v>
      </c>
      <c r="C206" s="7">
        <v>1970</v>
      </c>
      <c r="D206" s="8">
        <v>7.0604257759300404E-2</v>
      </c>
    </row>
    <row r="207" spans="1:4" x14ac:dyDescent="0.3">
      <c r="A207" s="4" t="s">
        <v>17</v>
      </c>
      <c r="B207" s="4" t="s">
        <v>53</v>
      </c>
      <c r="C207" s="7">
        <v>628</v>
      </c>
      <c r="D207" s="8">
        <v>2.2507347143573938E-2</v>
      </c>
    </row>
    <row r="208" spans="1:4" x14ac:dyDescent="0.3">
      <c r="A208" s="4" t="s">
        <v>17</v>
      </c>
      <c r="B208" s="4" t="s">
        <v>45</v>
      </c>
      <c r="C208" s="7">
        <v>264</v>
      </c>
      <c r="D208" s="8">
        <v>9.4616873342412734E-3</v>
      </c>
    </row>
    <row r="209" spans="1:4" x14ac:dyDescent="0.3">
      <c r="A209" s="4" t="s">
        <v>17</v>
      </c>
      <c r="B209" s="4" t="s">
        <v>57</v>
      </c>
      <c r="C209" s="7">
        <v>29</v>
      </c>
      <c r="D209" s="8">
        <v>1.0393520177765035E-3</v>
      </c>
    </row>
    <row r="210" spans="1:4" x14ac:dyDescent="0.3">
      <c r="A210" s="4" t="s">
        <v>17</v>
      </c>
      <c r="B210" s="4" t="s">
        <v>47</v>
      </c>
      <c r="C210" s="7">
        <v>22</v>
      </c>
      <c r="D210" s="8">
        <v>7.8847394452010605E-4</v>
      </c>
    </row>
    <row r="211" spans="1:4" x14ac:dyDescent="0.3">
      <c r="A211" s="4" t="s">
        <v>17</v>
      </c>
      <c r="B211" s="4" t="s">
        <v>52</v>
      </c>
      <c r="C211" s="7">
        <v>19</v>
      </c>
      <c r="D211" s="8">
        <v>6.8095477026736432E-4</v>
      </c>
    </row>
    <row r="212" spans="1:4" x14ac:dyDescent="0.3">
      <c r="A212" s="4" t="s">
        <v>17</v>
      </c>
      <c r="B212" s="4" t="s">
        <v>58</v>
      </c>
      <c r="C212" s="7">
        <v>2</v>
      </c>
      <c r="D212" s="8">
        <v>7.1679449501827825E-5</v>
      </c>
    </row>
    <row r="213" spans="1:4" x14ac:dyDescent="0.3">
      <c r="A213" s="4" t="s">
        <v>17</v>
      </c>
      <c r="B213" s="4" t="s">
        <v>54</v>
      </c>
      <c r="C213" s="7">
        <v>1</v>
      </c>
      <c r="D213" s="8">
        <v>3.5839724750913912E-5</v>
      </c>
    </row>
    <row r="214" spans="1:4" x14ac:dyDescent="0.3">
      <c r="A214" s="4" t="s">
        <v>17</v>
      </c>
      <c r="B214" s="4" t="s">
        <v>51</v>
      </c>
      <c r="C214" s="7">
        <v>1</v>
      </c>
      <c r="D214" s="8">
        <v>3.5839724750913912E-5</v>
      </c>
    </row>
    <row r="215" spans="1:4" x14ac:dyDescent="0.3">
      <c r="A215" s="4" t="s">
        <v>18</v>
      </c>
      <c r="B215" s="4" t="s">
        <v>43</v>
      </c>
      <c r="C215" s="7">
        <v>9081</v>
      </c>
      <c r="D215" s="8">
        <v>0.93918709277071055</v>
      </c>
    </row>
    <row r="216" spans="1:4" x14ac:dyDescent="0.3">
      <c r="A216" s="4" t="s">
        <v>18</v>
      </c>
      <c r="B216" s="4" t="s">
        <v>47</v>
      </c>
      <c r="C216" s="7">
        <v>190</v>
      </c>
      <c r="D216" s="8">
        <v>1.9650429206743199E-2</v>
      </c>
    </row>
    <row r="217" spans="1:4" x14ac:dyDescent="0.3">
      <c r="A217" s="4" t="s">
        <v>18</v>
      </c>
      <c r="B217" s="4" t="s">
        <v>48</v>
      </c>
      <c r="C217" s="7">
        <v>145</v>
      </c>
      <c r="D217" s="8">
        <v>1.4996380184093494E-2</v>
      </c>
    </row>
    <row r="218" spans="1:4" x14ac:dyDescent="0.3">
      <c r="A218" s="4" t="s">
        <v>18</v>
      </c>
      <c r="B218" s="4" t="s">
        <v>45</v>
      </c>
      <c r="C218" s="7">
        <v>110</v>
      </c>
      <c r="D218" s="8">
        <v>1.1376564277588168E-2</v>
      </c>
    </row>
    <row r="219" spans="1:4" x14ac:dyDescent="0.3">
      <c r="A219" s="4" t="s">
        <v>18</v>
      </c>
      <c r="B219" s="4" t="s">
        <v>44</v>
      </c>
      <c r="C219" s="7">
        <v>86</v>
      </c>
      <c r="D219" s="8">
        <v>8.8944047988416593E-3</v>
      </c>
    </row>
    <row r="220" spans="1:4" x14ac:dyDescent="0.3">
      <c r="A220" s="4" t="s">
        <v>18</v>
      </c>
      <c r="B220" s="4" t="s">
        <v>46</v>
      </c>
      <c r="C220" s="7">
        <v>56</v>
      </c>
      <c r="D220" s="8">
        <v>5.7917054504085224E-3</v>
      </c>
    </row>
    <row r="221" spans="1:4" x14ac:dyDescent="0.3">
      <c r="A221" s="4" t="s">
        <v>18</v>
      </c>
      <c r="B221" s="4" t="s">
        <v>54</v>
      </c>
      <c r="C221" s="7">
        <v>1</v>
      </c>
      <c r="D221" s="8">
        <v>1.034233116144379E-4</v>
      </c>
    </row>
    <row r="222" spans="1:4" x14ac:dyDescent="0.3">
      <c r="A222" s="4" t="s">
        <v>19</v>
      </c>
      <c r="B222" s="4" t="s">
        <v>43</v>
      </c>
      <c r="C222" s="7">
        <v>145742</v>
      </c>
      <c r="D222" s="8">
        <v>0.75213525243715518</v>
      </c>
    </row>
    <row r="223" spans="1:4" x14ac:dyDescent="0.3">
      <c r="A223" s="4" t="s">
        <v>19</v>
      </c>
      <c r="B223" s="4" t="s">
        <v>45</v>
      </c>
      <c r="C223" s="7">
        <v>20450</v>
      </c>
      <c r="D223" s="8">
        <v>0.10553694825335061</v>
      </c>
    </row>
    <row r="224" spans="1:4" x14ac:dyDescent="0.3">
      <c r="A224" s="4" t="s">
        <v>19</v>
      </c>
      <c r="B224" s="4" t="s">
        <v>55</v>
      </c>
      <c r="C224" s="7">
        <v>14378</v>
      </c>
      <c r="D224" s="8">
        <v>7.4200989828199268E-2</v>
      </c>
    </row>
    <row r="225" spans="1:4" x14ac:dyDescent="0.3">
      <c r="A225" s="4" t="s">
        <v>19</v>
      </c>
      <c r="B225" s="4" t="s">
        <v>50</v>
      </c>
      <c r="C225" s="7">
        <v>9681</v>
      </c>
      <c r="D225" s="8">
        <v>4.9961036481207199E-2</v>
      </c>
    </row>
    <row r="226" spans="1:4" x14ac:dyDescent="0.3">
      <c r="A226" s="4" t="s">
        <v>19</v>
      </c>
      <c r="B226" s="4" t="s">
        <v>48</v>
      </c>
      <c r="C226" s="7">
        <v>1374</v>
      </c>
      <c r="D226" s="8">
        <v>7.0908443471933364E-3</v>
      </c>
    </row>
    <row r="227" spans="1:4" x14ac:dyDescent="0.3">
      <c r="A227" s="4" t="s">
        <v>19</v>
      </c>
      <c r="B227" s="4" t="s">
        <v>44</v>
      </c>
      <c r="C227" s="7">
        <v>1178</v>
      </c>
      <c r="D227" s="8">
        <v>6.0793410778702695E-3</v>
      </c>
    </row>
    <row r="228" spans="1:4" x14ac:dyDescent="0.3">
      <c r="A228" s="4" t="s">
        <v>19</v>
      </c>
      <c r="B228" s="4" t="s">
        <v>47</v>
      </c>
      <c r="C228" s="7">
        <v>387</v>
      </c>
      <c r="D228" s="8">
        <v>1.9972028838164636E-3</v>
      </c>
    </row>
    <row r="229" spans="1:4" x14ac:dyDescent="0.3">
      <c r="A229" s="4" t="s">
        <v>19</v>
      </c>
      <c r="B229" s="4" t="s">
        <v>56</v>
      </c>
      <c r="C229" s="7">
        <v>329</v>
      </c>
      <c r="D229" s="8">
        <v>1.6978804877922909E-3</v>
      </c>
    </row>
    <row r="230" spans="1:4" x14ac:dyDescent="0.3">
      <c r="A230" s="4" t="s">
        <v>19</v>
      </c>
      <c r="B230" s="4" t="s">
        <v>58</v>
      </c>
      <c r="C230" s="7">
        <v>152</v>
      </c>
      <c r="D230" s="8">
        <v>7.8443110682197025E-4</v>
      </c>
    </row>
    <row r="231" spans="1:4" x14ac:dyDescent="0.3">
      <c r="A231" s="4" t="s">
        <v>19</v>
      </c>
      <c r="B231" s="4" t="s">
        <v>57</v>
      </c>
      <c r="C231" s="7">
        <v>53</v>
      </c>
      <c r="D231" s="8">
        <v>2.7351874119450279E-4</v>
      </c>
    </row>
    <row r="232" spans="1:4" x14ac:dyDescent="0.3">
      <c r="A232" s="4" t="s">
        <v>19</v>
      </c>
      <c r="B232" s="4" t="s">
        <v>59</v>
      </c>
      <c r="C232" s="7">
        <v>41</v>
      </c>
      <c r="D232" s="8">
        <v>2.1158996960329461E-4</v>
      </c>
    </row>
    <row r="233" spans="1:4" x14ac:dyDescent="0.3">
      <c r="A233" s="4" t="s">
        <v>19</v>
      </c>
      <c r="B233" s="4" t="s">
        <v>54</v>
      </c>
      <c r="C233" s="7">
        <v>2</v>
      </c>
      <c r="D233" s="8">
        <v>1.0321461931868029E-5</v>
      </c>
    </row>
    <row r="234" spans="1:4" x14ac:dyDescent="0.3">
      <c r="A234" s="4" t="s">
        <v>19</v>
      </c>
      <c r="B234" s="4" t="s">
        <v>53</v>
      </c>
      <c r="C234" s="7">
        <v>2</v>
      </c>
      <c r="D234" s="8">
        <v>1.0321461931868029E-5</v>
      </c>
    </row>
    <row r="235" spans="1:4" x14ac:dyDescent="0.3">
      <c r="A235" s="4" t="s">
        <v>19</v>
      </c>
      <c r="B235" s="4" t="s">
        <v>52</v>
      </c>
      <c r="C235" s="7">
        <v>1</v>
      </c>
      <c r="D235" s="8">
        <v>5.1607309659340147E-6</v>
      </c>
    </row>
    <row r="236" spans="1:4" x14ac:dyDescent="0.3">
      <c r="A236" s="4" t="s">
        <v>19</v>
      </c>
      <c r="B236" s="4" t="s">
        <v>65</v>
      </c>
      <c r="C236" s="7">
        <v>1</v>
      </c>
      <c r="D236" s="8">
        <v>5.1607309659340147E-6</v>
      </c>
    </row>
    <row r="237" spans="1:4" x14ac:dyDescent="0.3">
      <c r="A237" s="4" t="s">
        <v>20</v>
      </c>
      <c r="B237" s="4" t="s">
        <v>43</v>
      </c>
      <c r="C237" s="7">
        <v>84118</v>
      </c>
      <c r="D237" s="8">
        <v>0.71815931016818924</v>
      </c>
    </row>
    <row r="238" spans="1:4" x14ac:dyDescent="0.3">
      <c r="A238" s="4" t="s">
        <v>20</v>
      </c>
      <c r="B238" s="4" t="s">
        <v>55</v>
      </c>
      <c r="C238" s="7">
        <v>13242</v>
      </c>
      <c r="D238" s="8">
        <v>0.11305387176641339</v>
      </c>
    </row>
    <row r="239" spans="1:4" x14ac:dyDescent="0.3">
      <c r="A239" s="4" t="s">
        <v>20</v>
      </c>
      <c r="B239" s="4" t="s">
        <v>50</v>
      </c>
      <c r="C239" s="7">
        <v>7169</v>
      </c>
      <c r="D239" s="8">
        <v>6.120549816443268E-2</v>
      </c>
    </row>
    <row r="240" spans="1:4" x14ac:dyDescent="0.3">
      <c r="A240" s="4" t="s">
        <v>20</v>
      </c>
      <c r="B240" s="4" t="s">
        <v>45</v>
      </c>
      <c r="C240" s="7">
        <v>5839</v>
      </c>
      <c r="D240" s="8">
        <v>4.9850593357807567E-2</v>
      </c>
    </row>
    <row r="241" spans="1:4" x14ac:dyDescent="0.3">
      <c r="A241" s="4" t="s">
        <v>20</v>
      </c>
      <c r="B241" s="4" t="s">
        <v>44</v>
      </c>
      <c r="C241" s="7">
        <v>2027</v>
      </c>
      <c r="D241" s="8">
        <v>1.7305557927089557E-2</v>
      </c>
    </row>
    <row r="242" spans="1:4" x14ac:dyDescent="0.3">
      <c r="A242" s="4" t="s">
        <v>20</v>
      </c>
      <c r="B242" s="4" t="s">
        <v>48</v>
      </c>
      <c r="C242" s="7">
        <v>1355</v>
      </c>
      <c r="D242" s="8">
        <v>1.1568342866900026E-2</v>
      </c>
    </row>
    <row r="243" spans="1:4" x14ac:dyDescent="0.3">
      <c r="A243" s="4" t="s">
        <v>20</v>
      </c>
      <c r="B243" s="4" t="s">
        <v>75</v>
      </c>
      <c r="C243" s="7">
        <v>834</v>
      </c>
      <c r="D243" s="8">
        <v>7.1202936907709385E-3</v>
      </c>
    </row>
    <row r="244" spans="1:4" x14ac:dyDescent="0.3">
      <c r="A244" s="4" t="s">
        <v>20</v>
      </c>
      <c r="B244" s="4" t="s">
        <v>49</v>
      </c>
      <c r="C244" s="7">
        <v>781</v>
      </c>
      <c r="D244" s="8">
        <v>6.6678050029881329E-3</v>
      </c>
    </row>
    <row r="245" spans="1:4" x14ac:dyDescent="0.3">
      <c r="A245" s="4" t="s">
        <v>20</v>
      </c>
      <c r="B245" s="4" t="s">
        <v>59</v>
      </c>
      <c r="C245" s="7">
        <v>394</v>
      </c>
      <c r="D245" s="8">
        <v>3.3637838299325536E-3</v>
      </c>
    </row>
    <row r="246" spans="1:4" x14ac:dyDescent="0.3">
      <c r="A246" s="4" t="s">
        <v>20</v>
      </c>
      <c r="B246" s="4" t="s">
        <v>76</v>
      </c>
      <c r="C246" s="7">
        <v>356</v>
      </c>
      <c r="D246" s="8">
        <v>3.0393579783146931E-3</v>
      </c>
    </row>
    <row r="247" spans="1:4" x14ac:dyDescent="0.3">
      <c r="A247" s="4" t="s">
        <v>20</v>
      </c>
      <c r="B247" s="4" t="s">
        <v>71</v>
      </c>
      <c r="C247" s="7">
        <v>350</v>
      </c>
      <c r="D247" s="8">
        <v>2.988132843848715E-3</v>
      </c>
    </row>
    <row r="248" spans="1:4" x14ac:dyDescent="0.3">
      <c r="A248" s="4" t="s">
        <v>20</v>
      </c>
      <c r="B248" s="4" t="s">
        <v>46</v>
      </c>
      <c r="C248" s="7">
        <v>322</v>
      </c>
      <c r="D248" s="8">
        <v>2.749082216340818E-3</v>
      </c>
    </row>
    <row r="249" spans="1:4" x14ac:dyDescent="0.3">
      <c r="A249" s="4" t="s">
        <v>20</v>
      </c>
      <c r="B249" s="4" t="s">
        <v>57</v>
      </c>
      <c r="C249" s="7">
        <v>117</v>
      </c>
      <c r="D249" s="8">
        <v>9.9889012208657056E-4</v>
      </c>
    </row>
    <row r="250" spans="1:4" x14ac:dyDescent="0.3">
      <c r="A250" s="4" t="s">
        <v>20</v>
      </c>
      <c r="B250" s="4" t="s">
        <v>47</v>
      </c>
      <c r="C250" s="7">
        <v>87</v>
      </c>
      <c r="D250" s="8">
        <v>7.4276444975668061E-4</v>
      </c>
    </row>
    <row r="251" spans="1:4" x14ac:dyDescent="0.3">
      <c r="A251" s="4" t="s">
        <v>20</v>
      </c>
      <c r="B251" s="4" t="s">
        <v>70</v>
      </c>
      <c r="C251" s="7">
        <v>71</v>
      </c>
      <c r="D251" s="8">
        <v>6.0616409118073936E-4</v>
      </c>
    </row>
    <row r="252" spans="1:4" x14ac:dyDescent="0.3">
      <c r="A252" s="4" t="s">
        <v>20</v>
      </c>
      <c r="B252" s="4" t="s">
        <v>77</v>
      </c>
      <c r="C252" s="7">
        <v>54</v>
      </c>
      <c r="D252" s="8">
        <v>4.6102621019380178E-4</v>
      </c>
    </row>
    <row r="253" spans="1:4" x14ac:dyDescent="0.3">
      <c r="A253" s="4" t="s">
        <v>20</v>
      </c>
      <c r="B253" s="4" t="s">
        <v>72</v>
      </c>
      <c r="C253" s="7">
        <v>10</v>
      </c>
      <c r="D253" s="8">
        <v>8.5375224109963282E-5</v>
      </c>
    </row>
    <row r="254" spans="1:4" x14ac:dyDescent="0.3">
      <c r="A254" s="4" t="s">
        <v>20</v>
      </c>
      <c r="B254" s="4" t="s">
        <v>54</v>
      </c>
      <c r="C254" s="7">
        <v>2</v>
      </c>
      <c r="D254" s="8">
        <v>1.7075044821992656E-5</v>
      </c>
    </row>
    <row r="255" spans="1:4" x14ac:dyDescent="0.3">
      <c r="A255" s="4" t="s">
        <v>20</v>
      </c>
      <c r="B255" s="4" t="s">
        <v>56</v>
      </c>
      <c r="C255" s="7">
        <v>1</v>
      </c>
      <c r="D255" s="8">
        <v>8.5375224109963282E-6</v>
      </c>
    </row>
    <row r="256" spans="1:4" x14ac:dyDescent="0.3">
      <c r="A256" s="4" t="s">
        <v>20</v>
      </c>
      <c r="B256" s="4" t="s">
        <v>51</v>
      </c>
      <c r="C256" s="7">
        <v>1</v>
      </c>
      <c r="D256" s="8">
        <v>8.5375224109963282E-6</v>
      </c>
    </row>
    <row r="257" spans="1:4" x14ac:dyDescent="0.3">
      <c r="A257" s="4" t="s">
        <v>21</v>
      </c>
      <c r="B257" s="4" t="s">
        <v>43</v>
      </c>
      <c r="C257" s="7">
        <v>12842</v>
      </c>
      <c r="D257" s="8">
        <v>0.75952211970664774</v>
      </c>
    </row>
    <row r="258" spans="1:4" x14ac:dyDescent="0.3">
      <c r="A258" s="4" t="s">
        <v>21</v>
      </c>
      <c r="B258" s="4" t="s">
        <v>45</v>
      </c>
      <c r="C258" s="7">
        <v>3716</v>
      </c>
      <c r="D258" s="8">
        <v>0.21977762006150933</v>
      </c>
    </row>
    <row r="259" spans="1:4" x14ac:dyDescent="0.3">
      <c r="A259" s="4" t="s">
        <v>21</v>
      </c>
      <c r="B259" s="4" t="s">
        <v>44</v>
      </c>
      <c r="C259" s="7">
        <v>212</v>
      </c>
      <c r="D259" s="8">
        <v>1.2538443340430565E-2</v>
      </c>
    </row>
    <row r="260" spans="1:4" x14ac:dyDescent="0.3">
      <c r="A260" s="4" t="s">
        <v>21</v>
      </c>
      <c r="B260" s="4" t="s">
        <v>49</v>
      </c>
      <c r="C260" s="7">
        <v>66</v>
      </c>
      <c r="D260" s="8">
        <v>3.9034776437189495E-3</v>
      </c>
    </row>
    <row r="261" spans="1:4" x14ac:dyDescent="0.3">
      <c r="A261" s="4" t="s">
        <v>21</v>
      </c>
      <c r="B261" s="4" t="s">
        <v>48</v>
      </c>
      <c r="C261" s="7">
        <v>32</v>
      </c>
      <c r="D261" s="8">
        <v>1.8925952211970665E-3</v>
      </c>
    </row>
    <row r="262" spans="1:4" x14ac:dyDescent="0.3">
      <c r="A262" s="4" t="s">
        <v>21</v>
      </c>
      <c r="B262" s="4" t="s">
        <v>47</v>
      </c>
      <c r="C262" s="7">
        <v>21</v>
      </c>
      <c r="D262" s="8">
        <v>1.2420156139105749E-3</v>
      </c>
    </row>
    <row r="263" spans="1:4" x14ac:dyDescent="0.3">
      <c r="A263" s="4" t="s">
        <v>21</v>
      </c>
      <c r="B263" s="4" t="s">
        <v>46</v>
      </c>
      <c r="C263" s="7">
        <v>11</v>
      </c>
      <c r="D263" s="8">
        <v>6.5057960728649158E-4</v>
      </c>
    </row>
    <row r="264" spans="1:4" x14ac:dyDescent="0.3">
      <c r="A264" s="4" t="s">
        <v>21</v>
      </c>
      <c r="B264" s="4" t="s">
        <v>55</v>
      </c>
      <c r="C264" s="7">
        <v>5</v>
      </c>
      <c r="D264" s="8">
        <v>2.9571800331204166E-4</v>
      </c>
    </row>
    <row r="265" spans="1:4" x14ac:dyDescent="0.3">
      <c r="A265" s="4" t="s">
        <v>21</v>
      </c>
      <c r="B265" s="4" t="s">
        <v>70</v>
      </c>
      <c r="C265" s="7">
        <v>2</v>
      </c>
      <c r="D265" s="8">
        <v>1.1828720132481665E-4</v>
      </c>
    </row>
    <row r="266" spans="1:4" x14ac:dyDescent="0.3">
      <c r="A266" s="4" t="s">
        <v>21</v>
      </c>
      <c r="B266" s="4" t="s">
        <v>50</v>
      </c>
      <c r="C266" s="7">
        <v>1</v>
      </c>
      <c r="D266" s="8">
        <v>5.9143600662408327E-5</v>
      </c>
    </row>
    <row r="267" spans="1:4" x14ac:dyDescent="0.3">
      <c r="A267" s="4" t="s">
        <v>22</v>
      </c>
      <c r="B267" s="4" t="s">
        <v>43</v>
      </c>
      <c r="C267" s="7">
        <v>12791</v>
      </c>
      <c r="D267" s="8">
        <v>0.57723723994765108</v>
      </c>
    </row>
    <row r="268" spans="1:4" x14ac:dyDescent="0.3">
      <c r="A268" s="4" t="s">
        <v>22</v>
      </c>
      <c r="B268" s="4" t="s">
        <v>45</v>
      </c>
      <c r="C268" s="7">
        <v>7122</v>
      </c>
      <c r="D268" s="8">
        <v>0.32140439550521233</v>
      </c>
    </row>
    <row r="269" spans="1:4" x14ac:dyDescent="0.3">
      <c r="A269" s="4" t="s">
        <v>22</v>
      </c>
      <c r="B269" s="4" t="s">
        <v>50</v>
      </c>
      <c r="C269" s="7">
        <v>2113</v>
      </c>
      <c r="D269" s="8">
        <v>9.5356288641184173E-2</v>
      </c>
    </row>
    <row r="270" spans="1:4" x14ac:dyDescent="0.3">
      <c r="A270" s="4" t="s">
        <v>22</v>
      </c>
      <c r="B270" s="4" t="s">
        <v>44</v>
      </c>
      <c r="C270" s="7">
        <v>129</v>
      </c>
      <c r="D270" s="8">
        <v>5.8215623448711583E-3</v>
      </c>
    </row>
    <row r="271" spans="1:4" x14ac:dyDescent="0.3">
      <c r="A271" s="4" t="s">
        <v>22</v>
      </c>
      <c r="B271" s="4" t="s">
        <v>48</v>
      </c>
      <c r="C271" s="7">
        <v>2</v>
      </c>
      <c r="D271" s="8">
        <v>9.0256780540638116E-5</v>
      </c>
    </row>
    <row r="272" spans="1:4" x14ac:dyDescent="0.3">
      <c r="A272" s="4" t="s">
        <v>22</v>
      </c>
      <c r="B272" s="4" t="s">
        <v>54</v>
      </c>
      <c r="C272" s="7">
        <v>1</v>
      </c>
      <c r="D272" s="8">
        <v>4.5128390270319058E-5</v>
      </c>
    </row>
    <row r="273" spans="1:4" x14ac:dyDescent="0.3">
      <c r="A273" s="4" t="s">
        <v>22</v>
      </c>
      <c r="B273" s="4" t="s">
        <v>52</v>
      </c>
      <c r="C273" s="7">
        <v>1</v>
      </c>
      <c r="D273" s="8">
        <v>4.5128390270319058E-5</v>
      </c>
    </row>
    <row r="274" spans="1:4" x14ac:dyDescent="0.3">
      <c r="A274" s="4" t="s">
        <v>23</v>
      </c>
      <c r="B274" s="4" t="s">
        <v>43</v>
      </c>
      <c r="C274" s="7">
        <v>24051</v>
      </c>
      <c r="D274" s="8">
        <v>0.48808750710284926</v>
      </c>
    </row>
    <row r="275" spans="1:4" x14ac:dyDescent="0.3">
      <c r="A275" s="4" t="s">
        <v>23</v>
      </c>
      <c r="B275" s="4" t="s">
        <v>50</v>
      </c>
      <c r="C275" s="7">
        <v>9349</v>
      </c>
      <c r="D275" s="8">
        <v>0.1897272505885218</v>
      </c>
    </row>
    <row r="276" spans="1:4" x14ac:dyDescent="0.3">
      <c r="A276" s="4" t="s">
        <v>23</v>
      </c>
      <c r="B276" s="4" t="s">
        <v>45</v>
      </c>
      <c r="C276" s="7">
        <v>7753</v>
      </c>
      <c r="D276" s="8">
        <v>0.15733825797548504</v>
      </c>
    </row>
    <row r="277" spans="1:4" x14ac:dyDescent="0.3">
      <c r="A277" s="4" t="s">
        <v>23</v>
      </c>
      <c r="B277" s="4" t="s">
        <v>44</v>
      </c>
      <c r="C277" s="7">
        <v>4576</v>
      </c>
      <c r="D277" s="8">
        <v>9.2864680574721969E-2</v>
      </c>
    </row>
    <row r="278" spans="1:4" x14ac:dyDescent="0.3">
      <c r="A278" s="4" t="s">
        <v>23</v>
      </c>
      <c r="B278" s="4" t="s">
        <v>55</v>
      </c>
      <c r="C278" s="7">
        <v>2320</v>
      </c>
      <c r="D278" s="8">
        <v>4.708174364802338E-2</v>
      </c>
    </row>
    <row r="279" spans="1:4" x14ac:dyDescent="0.3">
      <c r="A279" s="4" t="s">
        <v>23</v>
      </c>
      <c r="B279" s="4" t="s">
        <v>48</v>
      </c>
      <c r="C279" s="7">
        <v>795</v>
      </c>
      <c r="D279" s="8">
        <v>1.6133614741456286E-2</v>
      </c>
    </row>
    <row r="280" spans="1:4" x14ac:dyDescent="0.3">
      <c r="A280" s="4" t="s">
        <v>23</v>
      </c>
      <c r="B280" s="4" t="s">
        <v>54</v>
      </c>
      <c r="C280" s="7">
        <v>171</v>
      </c>
      <c r="D280" s="8">
        <v>3.4702492085396542E-3</v>
      </c>
    </row>
    <row r="281" spans="1:4" x14ac:dyDescent="0.3">
      <c r="A281" s="4" t="s">
        <v>23</v>
      </c>
      <c r="B281" s="4" t="s">
        <v>46</v>
      </c>
      <c r="C281" s="7">
        <v>94</v>
      </c>
      <c r="D281" s="8">
        <v>1.9076223719457748E-3</v>
      </c>
    </row>
    <row r="282" spans="1:4" x14ac:dyDescent="0.3">
      <c r="A282" s="4" t="s">
        <v>23</v>
      </c>
      <c r="B282" s="4" t="s">
        <v>49</v>
      </c>
      <c r="C282" s="7">
        <v>76</v>
      </c>
      <c r="D282" s="8">
        <v>1.5423329815731797E-3</v>
      </c>
    </row>
    <row r="283" spans="1:4" x14ac:dyDescent="0.3">
      <c r="A283" s="4" t="s">
        <v>23</v>
      </c>
      <c r="B283" s="4" t="s">
        <v>57</v>
      </c>
      <c r="C283" s="7">
        <v>37</v>
      </c>
      <c r="D283" s="8">
        <v>7.508726357658901E-4</v>
      </c>
    </row>
    <row r="284" spans="1:4" x14ac:dyDescent="0.3">
      <c r="A284" s="4" t="s">
        <v>23</v>
      </c>
      <c r="B284" s="4" t="s">
        <v>65</v>
      </c>
      <c r="C284" s="7">
        <v>19</v>
      </c>
      <c r="D284" s="8">
        <v>3.8558324539329493E-4</v>
      </c>
    </row>
    <row r="285" spans="1:4" x14ac:dyDescent="0.3">
      <c r="A285" s="4" t="s">
        <v>23</v>
      </c>
      <c r="B285" s="4" t="s">
        <v>51</v>
      </c>
      <c r="C285" s="7">
        <v>18</v>
      </c>
      <c r="D285" s="8">
        <v>3.6528939037259518E-4</v>
      </c>
    </row>
    <row r="286" spans="1:4" x14ac:dyDescent="0.3">
      <c r="A286" s="4" t="s">
        <v>23</v>
      </c>
      <c r="B286" s="4" t="s">
        <v>52</v>
      </c>
      <c r="C286" s="7">
        <v>11</v>
      </c>
      <c r="D286" s="8">
        <v>2.2323240522769704E-4</v>
      </c>
    </row>
    <row r="287" spans="1:4" x14ac:dyDescent="0.3">
      <c r="A287" s="4" t="s">
        <v>23</v>
      </c>
      <c r="B287" s="4" t="s">
        <v>47</v>
      </c>
      <c r="C287" s="7">
        <v>5</v>
      </c>
      <c r="D287" s="8">
        <v>1.0146927510349866E-4</v>
      </c>
    </row>
    <row r="288" spans="1:4" x14ac:dyDescent="0.3">
      <c r="A288" s="4" t="s">
        <v>23</v>
      </c>
      <c r="B288" s="4" t="s">
        <v>71</v>
      </c>
      <c r="C288" s="7">
        <v>1</v>
      </c>
      <c r="D288" s="8">
        <v>2.0293855020699733E-5</v>
      </c>
    </row>
    <row r="289" spans="1:4" x14ac:dyDescent="0.3">
      <c r="A289" s="4" t="s">
        <v>24</v>
      </c>
      <c r="B289" s="4" t="s">
        <v>43</v>
      </c>
      <c r="C289" s="7">
        <v>40429</v>
      </c>
      <c r="D289" s="8">
        <v>0.67600240778517207</v>
      </c>
    </row>
    <row r="290" spans="1:4" x14ac:dyDescent="0.3">
      <c r="A290" s="4" t="s">
        <v>24</v>
      </c>
      <c r="B290" s="4" t="s">
        <v>48</v>
      </c>
      <c r="C290" s="7">
        <v>8737</v>
      </c>
      <c r="D290" s="8">
        <v>0.14608902116844463</v>
      </c>
    </row>
    <row r="291" spans="1:4" x14ac:dyDescent="0.3">
      <c r="A291" s="4" t="s">
        <v>24</v>
      </c>
      <c r="B291" s="4" t="s">
        <v>44</v>
      </c>
      <c r="C291" s="7">
        <v>2590</v>
      </c>
      <c r="D291" s="8">
        <v>4.3306691636290674E-2</v>
      </c>
    </row>
    <row r="292" spans="1:4" x14ac:dyDescent="0.3">
      <c r="A292" s="4" t="s">
        <v>24</v>
      </c>
      <c r="B292" s="4" t="s">
        <v>58</v>
      </c>
      <c r="C292" s="7">
        <v>2073</v>
      </c>
      <c r="D292" s="8">
        <v>3.4662074039394038E-2</v>
      </c>
    </row>
    <row r="293" spans="1:4" x14ac:dyDescent="0.3">
      <c r="A293" s="4" t="s">
        <v>24</v>
      </c>
      <c r="B293" s="4" t="s">
        <v>45</v>
      </c>
      <c r="C293" s="7">
        <v>1839</v>
      </c>
      <c r="D293" s="8">
        <v>3.0749423134802528E-2</v>
      </c>
    </row>
    <row r="294" spans="1:4" x14ac:dyDescent="0.3">
      <c r="A294" s="4" t="s">
        <v>24</v>
      </c>
      <c r="B294" s="4" t="s">
        <v>47</v>
      </c>
      <c r="C294" s="7">
        <v>1675</v>
      </c>
      <c r="D294" s="8">
        <v>2.800722335551617E-2</v>
      </c>
    </row>
    <row r="295" spans="1:4" x14ac:dyDescent="0.3">
      <c r="A295" s="4" t="s">
        <v>24</v>
      </c>
      <c r="B295" s="4" t="s">
        <v>57</v>
      </c>
      <c r="C295" s="7">
        <v>1017</v>
      </c>
      <c r="D295" s="8">
        <v>1.7004982777647729E-2</v>
      </c>
    </row>
    <row r="296" spans="1:4" x14ac:dyDescent="0.3">
      <c r="A296" s="4" t="s">
        <v>24</v>
      </c>
      <c r="B296" s="4" t="s">
        <v>51</v>
      </c>
      <c r="C296" s="7">
        <v>603</v>
      </c>
      <c r="D296" s="8">
        <v>1.0082600407985821E-2</v>
      </c>
    </row>
    <row r="297" spans="1:4" x14ac:dyDescent="0.3">
      <c r="A297" s="4" t="s">
        <v>24</v>
      </c>
      <c r="B297" s="4" t="s">
        <v>74</v>
      </c>
      <c r="C297" s="7">
        <v>443</v>
      </c>
      <c r="D297" s="8">
        <v>7.4072835501454706E-3</v>
      </c>
    </row>
    <row r="298" spans="1:4" x14ac:dyDescent="0.3">
      <c r="A298" s="4" t="s">
        <v>24</v>
      </c>
      <c r="B298" s="4" t="s">
        <v>50</v>
      </c>
      <c r="C298" s="7">
        <v>391</v>
      </c>
      <c r="D298" s="8">
        <v>6.5378055713473564E-3</v>
      </c>
    </row>
    <row r="299" spans="1:4" x14ac:dyDescent="0.3">
      <c r="A299" s="4" t="s">
        <v>24</v>
      </c>
      <c r="B299" s="4" t="s">
        <v>53</v>
      </c>
      <c r="C299" s="7">
        <v>5</v>
      </c>
      <c r="D299" s="8">
        <v>8.3603651807510952E-5</v>
      </c>
    </row>
    <row r="300" spans="1:4" x14ac:dyDescent="0.3">
      <c r="A300" s="4" t="s">
        <v>24</v>
      </c>
      <c r="B300" s="4" t="s">
        <v>54</v>
      </c>
      <c r="C300" s="7">
        <v>2</v>
      </c>
      <c r="D300" s="8">
        <v>3.3441460723004378E-5</v>
      </c>
    </row>
    <row r="301" spans="1:4" x14ac:dyDescent="0.3">
      <c r="A301" s="4" t="s">
        <v>24</v>
      </c>
      <c r="B301" s="4" t="s">
        <v>72</v>
      </c>
      <c r="C301" s="7">
        <v>2</v>
      </c>
      <c r="D301" s="8">
        <v>3.3441460723004378E-5</v>
      </c>
    </row>
    <row r="302" spans="1:4" x14ac:dyDescent="0.3">
      <c r="A302" s="4" t="s">
        <v>25</v>
      </c>
      <c r="B302" s="4" t="s">
        <v>48</v>
      </c>
      <c r="C302" s="7">
        <v>3382</v>
      </c>
      <c r="D302" s="8">
        <v>0.34869574182905455</v>
      </c>
    </row>
    <row r="303" spans="1:4" x14ac:dyDescent="0.3">
      <c r="A303" s="4" t="s">
        <v>25</v>
      </c>
      <c r="B303" s="4" t="s">
        <v>47</v>
      </c>
      <c r="C303" s="7">
        <v>3270</v>
      </c>
      <c r="D303" s="8">
        <v>0.3371481596040829</v>
      </c>
    </row>
    <row r="304" spans="1:4" x14ac:dyDescent="0.3">
      <c r="A304" s="4" t="s">
        <v>25</v>
      </c>
      <c r="B304" s="4" t="s">
        <v>43</v>
      </c>
      <c r="C304" s="7">
        <v>2404</v>
      </c>
      <c r="D304" s="8">
        <v>0.24786060418599856</v>
      </c>
    </row>
    <row r="305" spans="1:4" x14ac:dyDescent="0.3">
      <c r="A305" s="4" t="s">
        <v>25</v>
      </c>
      <c r="B305" s="4" t="s">
        <v>44</v>
      </c>
      <c r="C305" s="7">
        <v>222</v>
      </c>
      <c r="D305" s="8">
        <v>2.2888957624497372E-2</v>
      </c>
    </row>
    <row r="306" spans="1:4" x14ac:dyDescent="0.3">
      <c r="A306" s="4" t="s">
        <v>25</v>
      </c>
      <c r="B306" s="4" t="s">
        <v>58</v>
      </c>
      <c r="C306" s="7">
        <v>220</v>
      </c>
      <c r="D306" s="8">
        <v>2.2682750799051448E-2</v>
      </c>
    </row>
    <row r="307" spans="1:4" x14ac:dyDescent="0.3">
      <c r="A307" s="4" t="s">
        <v>25</v>
      </c>
      <c r="B307" s="4" t="s">
        <v>46</v>
      </c>
      <c r="C307" s="7">
        <v>59</v>
      </c>
      <c r="D307" s="8">
        <v>6.0831013506547063E-3</v>
      </c>
    </row>
    <row r="308" spans="1:4" x14ac:dyDescent="0.3">
      <c r="A308" s="4" t="s">
        <v>25</v>
      </c>
      <c r="B308" s="4" t="s">
        <v>51</v>
      </c>
      <c r="C308" s="7">
        <v>44</v>
      </c>
      <c r="D308" s="8">
        <v>4.5365501598102894E-3</v>
      </c>
    </row>
    <row r="309" spans="1:4" x14ac:dyDescent="0.3">
      <c r="A309" s="4" t="s">
        <v>25</v>
      </c>
      <c r="B309" s="4" t="s">
        <v>49</v>
      </c>
      <c r="C309" s="7">
        <v>43</v>
      </c>
      <c r="D309" s="8">
        <v>4.4334467470873284E-3</v>
      </c>
    </row>
    <row r="310" spans="1:4" x14ac:dyDescent="0.3">
      <c r="A310" s="4" t="s">
        <v>25</v>
      </c>
      <c r="B310" s="4" t="s">
        <v>57</v>
      </c>
      <c r="C310" s="7">
        <v>22</v>
      </c>
      <c r="D310" s="8">
        <v>2.2682750799051447E-3</v>
      </c>
    </row>
    <row r="311" spans="1:4" x14ac:dyDescent="0.3">
      <c r="A311" s="4" t="s">
        <v>25</v>
      </c>
      <c r="B311" s="4" t="s">
        <v>74</v>
      </c>
      <c r="C311" s="7">
        <v>19</v>
      </c>
      <c r="D311" s="8">
        <v>1.9589648417362615E-3</v>
      </c>
    </row>
    <row r="312" spans="1:4" x14ac:dyDescent="0.3">
      <c r="A312" s="4" t="s">
        <v>25</v>
      </c>
      <c r="B312" s="4" t="s">
        <v>45</v>
      </c>
      <c r="C312" s="7">
        <v>12</v>
      </c>
      <c r="D312" s="8">
        <v>1.2372409526755336E-3</v>
      </c>
    </row>
    <row r="313" spans="1:4" x14ac:dyDescent="0.3">
      <c r="A313" s="4" t="s">
        <v>25</v>
      </c>
      <c r="B313" s="4" t="s">
        <v>54</v>
      </c>
      <c r="C313" s="7">
        <v>1</v>
      </c>
      <c r="D313" s="8">
        <v>1.0310341272296113E-4</v>
      </c>
    </row>
    <row r="314" spans="1:4" x14ac:dyDescent="0.3">
      <c r="A314" s="4" t="s">
        <v>25</v>
      </c>
      <c r="B314" s="4" t="s">
        <v>53</v>
      </c>
      <c r="C314" s="7">
        <v>1</v>
      </c>
      <c r="D314" s="8">
        <v>1.0310341272296113E-4</v>
      </c>
    </row>
    <row r="315" spans="1:4" x14ac:dyDescent="0.3">
      <c r="A315" s="4" t="s">
        <v>26</v>
      </c>
      <c r="B315" s="4" t="s">
        <v>43</v>
      </c>
      <c r="C315" s="7">
        <v>10337</v>
      </c>
      <c r="D315" s="8">
        <v>0.41549097632541498</v>
      </c>
    </row>
    <row r="316" spans="1:4" x14ac:dyDescent="0.3">
      <c r="A316" s="4" t="s">
        <v>26</v>
      </c>
      <c r="B316" s="4" t="s">
        <v>56</v>
      </c>
      <c r="C316" s="7">
        <v>9291</v>
      </c>
      <c r="D316" s="8">
        <v>0.37344748583142412</v>
      </c>
    </row>
    <row r="317" spans="1:4" x14ac:dyDescent="0.3">
      <c r="A317" s="4" t="s">
        <v>26</v>
      </c>
      <c r="B317" s="4" t="s">
        <v>50</v>
      </c>
      <c r="C317" s="7">
        <v>4969</v>
      </c>
      <c r="D317" s="8">
        <v>0.19972667711724748</v>
      </c>
    </row>
    <row r="318" spans="1:4" x14ac:dyDescent="0.3">
      <c r="A318" s="4" t="s">
        <v>26</v>
      </c>
      <c r="B318" s="4" t="s">
        <v>45</v>
      </c>
      <c r="C318" s="7">
        <v>233</v>
      </c>
      <c r="D318" s="8">
        <v>9.3653281884320105E-3</v>
      </c>
    </row>
    <row r="319" spans="1:4" x14ac:dyDescent="0.3">
      <c r="A319" s="4" t="s">
        <v>26</v>
      </c>
      <c r="B319" s="4" t="s">
        <v>44</v>
      </c>
      <c r="C319" s="7">
        <v>43</v>
      </c>
      <c r="D319" s="8">
        <v>1.7283652879938904E-3</v>
      </c>
    </row>
    <row r="320" spans="1:4" x14ac:dyDescent="0.3">
      <c r="A320" s="4" t="s">
        <v>26</v>
      </c>
      <c r="B320" s="4" t="s">
        <v>53</v>
      </c>
      <c r="C320" s="7">
        <v>3</v>
      </c>
      <c r="D320" s="8">
        <v>1.205836247437598E-4</v>
      </c>
    </row>
    <row r="321" spans="1:4" x14ac:dyDescent="0.3">
      <c r="A321" s="4" t="s">
        <v>26</v>
      </c>
      <c r="B321" s="4" t="s">
        <v>55</v>
      </c>
      <c r="C321" s="7">
        <v>2</v>
      </c>
      <c r="D321" s="8">
        <v>8.0389083162506536E-5</v>
      </c>
    </row>
    <row r="322" spans="1:4" x14ac:dyDescent="0.3">
      <c r="A322" s="4" t="s">
        <v>26</v>
      </c>
      <c r="B322" s="4" t="s">
        <v>47</v>
      </c>
      <c r="C322" s="7">
        <v>1</v>
      </c>
      <c r="D322" s="8">
        <v>4.0194541581253268E-5</v>
      </c>
    </row>
    <row r="323" spans="1:4" x14ac:dyDescent="0.3">
      <c r="A323" s="4" t="s">
        <v>27</v>
      </c>
      <c r="B323" s="4" t="s">
        <v>43</v>
      </c>
      <c r="C323" s="7">
        <v>10107</v>
      </c>
      <c r="D323" s="8">
        <v>0.43383268231961197</v>
      </c>
    </row>
    <row r="324" spans="1:4" x14ac:dyDescent="0.3">
      <c r="A324" s="4" t="s">
        <v>27</v>
      </c>
      <c r="B324" s="4" t="s">
        <v>48</v>
      </c>
      <c r="C324" s="7">
        <v>8582</v>
      </c>
      <c r="D324" s="8">
        <v>0.36837361033609478</v>
      </c>
    </row>
    <row r="325" spans="1:4" x14ac:dyDescent="0.3">
      <c r="A325" s="4" t="s">
        <v>27</v>
      </c>
      <c r="B325" s="4" t="s">
        <v>50</v>
      </c>
      <c r="C325" s="7">
        <v>3652</v>
      </c>
      <c r="D325" s="8">
        <v>0.15675838090741298</v>
      </c>
    </row>
    <row r="326" spans="1:4" x14ac:dyDescent="0.3">
      <c r="A326" s="4" t="s">
        <v>27</v>
      </c>
      <c r="B326" s="4" t="s">
        <v>54</v>
      </c>
      <c r="C326" s="7">
        <v>542</v>
      </c>
      <c r="D326" s="8">
        <v>2.3264798042666436E-2</v>
      </c>
    </row>
    <row r="327" spans="1:4" x14ac:dyDescent="0.3">
      <c r="A327" s="4" t="s">
        <v>27</v>
      </c>
      <c r="B327" s="4" t="s">
        <v>44</v>
      </c>
      <c r="C327" s="7">
        <v>236</v>
      </c>
      <c r="D327" s="8">
        <v>1.0130059664334464E-2</v>
      </c>
    </row>
    <row r="328" spans="1:4" x14ac:dyDescent="0.3">
      <c r="A328" s="4" t="s">
        <v>27</v>
      </c>
      <c r="B328" s="4" t="s">
        <v>45</v>
      </c>
      <c r="C328" s="7">
        <v>44</v>
      </c>
      <c r="D328" s="8">
        <v>1.8886551916555781E-3</v>
      </c>
    </row>
    <row r="329" spans="1:4" x14ac:dyDescent="0.3">
      <c r="A329" s="4" t="s">
        <v>27</v>
      </c>
      <c r="B329" s="4" t="s">
        <v>47</v>
      </c>
      <c r="C329" s="7">
        <v>33</v>
      </c>
      <c r="D329" s="8">
        <v>1.4164913937416835E-3</v>
      </c>
    </row>
    <row r="330" spans="1:4" x14ac:dyDescent="0.3">
      <c r="A330" s="4" t="s">
        <v>27</v>
      </c>
      <c r="B330" s="4" t="s">
        <v>49</v>
      </c>
      <c r="C330" s="7">
        <v>33</v>
      </c>
      <c r="D330" s="8">
        <v>1.4164913937416835E-3</v>
      </c>
    </row>
    <row r="331" spans="1:4" x14ac:dyDescent="0.3">
      <c r="A331" s="4" t="s">
        <v>27</v>
      </c>
      <c r="B331" s="4" t="s">
        <v>74</v>
      </c>
      <c r="C331" s="7">
        <v>18</v>
      </c>
      <c r="D331" s="8">
        <v>7.7263166931364549E-4</v>
      </c>
    </row>
    <row r="332" spans="1:4" x14ac:dyDescent="0.3">
      <c r="A332" s="4" t="s">
        <v>27</v>
      </c>
      <c r="B332" s="4" t="s">
        <v>57</v>
      </c>
      <c r="C332" s="7">
        <v>14</v>
      </c>
      <c r="D332" s="8">
        <v>6.0093574279950206E-4</v>
      </c>
    </row>
    <row r="333" spans="1:4" x14ac:dyDescent="0.3">
      <c r="A333" s="4" t="s">
        <v>27</v>
      </c>
      <c r="B333" s="4" t="s">
        <v>58</v>
      </c>
      <c r="C333" s="7">
        <v>12</v>
      </c>
      <c r="D333" s="8">
        <v>5.150877795424304E-4</v>
      </c>
    </row>
    <row r="334" spans="1:4" x14ac:dyDescent="0.3">
      <c r="A334" s="4" t="s">
        <v>27</v>
      </c>
      <c r="B334" s="4" t="s">
        <v>52</v>
      </c>
      <c r="C334" s="7">
        <v>10</v>
      </c>
      <c r="D334" s="8">
        <v>4.2923981628535863E-4</v>
      </c>
    </row>
    <row r="335" spans="1:4" x14ac:dyDescent="0.3">
      <c r="A335" s="4" t="s">
        <v>27</v>
      </c>
      <c r="B335" s="4" t="s">
        <v>46</v>
      </c>
      <c r="C335" s="7">
        <v>8</v>
      </c>
      <c r="D335" s="8">
        <v>3.4339185302828692E-4</v>
      </c>
    </row>
    <row r="336" spans="1:4" x14ac:dyDescent="0.3">
      <c r="A336" s="4" t="s">
        <v>27</v>
      </c>
      <c r="B336" s="4" t="s">
        <v>53</v>
      </c>
      <c r="C336" s="7">
        <v>3</v>
      </c>
      <c r="D336" s="8">
        <v>1.287719448856076E-4</v>
      </c>
    </row>
    <row r="337" spans="1:4" x14ac:dyDescent="0.3">
      <c r="A337" s="4" t="s">
        <v>27</v>
      </c>
      <c r="B337" s="4" t="s">
        <v>78</v>
      </c>
      <c r="C337" s="7">
        <v>2</v>
      </c>
      <c r="D337" s="8">
        <v>8.5847963257071729E-5</v>
      </c>
    </row>
    <row r="338" spans="1:4" x14ac:dyDescent="0.3">
      <c r="A338" s="4" t="s">
        <v>27</v>
      </c>
      <c r="B338" s="4" t="s">
        <v>55</v>
      </c>
      <c r="C338" s="7">
        <v>1</v>
      </c>
      <c r="D338" s="8">
        <v>4.2923981628535864E-5</v>
      </c>
    </row>
    <row r="339" spans="1:4" x14ac:dyDescent="0.3">
      <c r="A339" s="4" t="s">
        <v>28</v>
      </c>
      <c r="B339" s="4" t="s">
        <v>43</v>
      </c>
      <c r="C339" s="7">
        <v>25380</v>
      </c>
      <c r="D339" s="8">
        <v>0.89209138840070301</v>
      </c>
    </row>
    <row r="340" spans="1:4" x14ac:dyDescent="0.3">
      <c r="A340" s="4" t="s">
        <v>28</v>
      </c>
      <c r="B340" s="4" t="s">
        <v>49</v>
      </c>
      <c r="C340" s="7">
        <v>1467</v>
      </c>
      <c r="D340" s="8">
        <v>5.1564147627416519E-2</v>
      </c>
    </row>
    <row r="341" spans="1:4" x14ac:dyDescent="0.3">
      <c r="A341" s="4" t="s">
        <v>28</v>
      </c>
      <c r="B341" s="4" t="s">
        <v>47</v>
      </c>
      <c r="C341" s="7">
        <v>639</v>
      </c>
      <c r="D341" s="8">
        <v>2.2460456942003514E-2</v>
      </c>
    </row>
    <row r="342" spans="1:4" x14ac:dyDescent="0.3">
      <c r="A342" s="4" t="s">
        <v>28</v>
      </c>
      <c r="B342" s="4" t="s">
        <v>45</v>
      </c>
      <c r="C342" s="7">
        <v>458</v>
      </c>
      <c r="D342" s="8">
        <v>1.6098418277680139E-2</v>
      </c>
    </row>
    <row r="343" spans="1:4" x14ac:dyDescent="0.3">
      <c r="A343" s="4" t="s">
        <v>28</v>
      </c>
      <c r="B343" s="4" t="s">
        <v>46</v>
      </c>
      <c r="C343" s="7">
        <v>217</v>
      </c>
      <c r="D343" s="8">
        <v>7.6274165202108966E-3</v>
      </c>
    </row>
    <row r="344" spans="1:4" x14ac:dyDescent="0.3">
      <c r="A344" s="4" t="s">
        <v>28</v>
      </c>
      <c r="B344" s="4" t="s">
        <v>59</v>
      </c>
      <c r="C344" s="7">
        <v>119</v>
      </c>
      <c r="D344" s="8">
        <v>4.1827768014059755E-3</v>
      </c>
    </row>
    <row r="345" spans="1:4" x14ac:dyDescent="0.3">
      <c r="A345" s="4" t="s">
        <v>28</v>
      </c>
      <c r="B345" s="4" t="s">
        <v>75</v>
      </c>
      <c r="C345" s="7">
        <v>75</v>
      </c>
      <c r="D345" s="8">
        <v>2.6362038664323375E-3</v>
      </c>
    </row>
    <row r="346" spans="1:4" x14ac:dyDescent="0.3">
      <c r="A346" s="4" t="s">
        <v>28</v>
      </c>
      <c r="B346" s="4" t="s">
        <v>44</v>
      </c>
      <c r="C346" s="7">
        <v>49</v>
      </c>
      <c r="D346" s="8">
        <v>1.7223198594024604E-3</v>
      </c>
    </row>
    <row r="347" spans="1:4" x14ac:dyDescent="0.3">
      <c r="A347" s="4" t="s">
        <v>28</v>
      </c>
      <c r="B347" s="4" t="s">
        <v>71</v>
      </c>
      <c r="C347" s="7">
        <v>28</v>
      </c>
      <c r="D347" s="8">
        <v>9.8418277680140608E-4</v>
      </c>
    </row>
    <row r="348" spans="1:4" x14ac:dyDescent="0.3">
      <c r="A348" s="4" t="s">
        <v>28</v>
      </c>
      <c r="B348" s="4" t="s">
        <v>52</v>
      </c>
      <c r="C348" s="7">
        <v>13</v>
      </c>
      <c r="D348" s="8">
        <v>4.5694200351493851E-4</v>
      </c>
    </row>
    <row r="349" spans="1:4" x14ac:dyDescent="0.3">
      <c r="A349" s="4" t="s">
        <v>28</v>
      </c>
      <c r="B349" s="4" t="s">
        <v>50</v>
      </c>
      <c r="C349" s="7">
        <v>3</v>
      </c>
      <c r="D349" s="8">
        <v>1.0544815465729349E-4</v>
      </c>
    </row>
    <row r="350" spans="1:4" x14ac:dyDescent="0.3">
      <c r="A350" s="4" t="s">
        <v>28</v>
      </c>
      <c r="B350" s="4" t="s">
        <v>72</v>
      </c>
      <c r="C350" s="7">
        <v>1</v>
      </c>
      <c r="D350" s="8">
        <v>3.51493848857645E-5</v>
      </c>
    </row>
    <row r="351" spans="1:4" x14ac:dyDescent="0.3">
      <c r="A351" s="4" t="s">
        <v>28</v>
      </c>
      <c r="B351" s="4" t="s">
        <v>48</v>
      </c>
      <c r="C351" s="7">
        <v>1</v>
      </c>
      <c r="D351" s="8">
        <v>3.51493848857645E-5</v>
      </c>
    </row>
    <row r="352" spans="1:4" x14ac:dyDescent="0.3">
      <c r="A352" s="4" t="s">
        <v>29</v>
      </c>
      <c r="B352" s="4" t="s">
        <v>43</v>
      </c>
      <c r="C352" s="7">
        <v>76509</v>
      </c>
      <c r="D352" s="8">
        <v>0.44102744424397189</v>
      </c>
    </row>
    <row r="353" spans="1:4" x14ac:dyDescent="0.3">
      <c r="A353" s="4" t="s">
        <v>29</v>
      </c>
      <c r="B353" s="4" t="s">
        <v>50</v>
      </c>
      <c r="C353" s="7">
        <v>55554</v>
      </c>
      <c r="D353" s="8">
        <v>0.32023472581695767</v>
      </c>
    </row>
    <row r="354" spans="1:4" x14ac:dyDescent="0.3">
      <c r="A354" s="4" t="s">
        <v>29</v>
      </c>
      <c r="B354" s="4" t="s">
        <v>55</v>
      </c>
      <c r="C354" s="7">
        <v>36446</v>
      </c>
      <c r="D354" s="8">
        <v>0.21008882919546459</v>
      </c>
    </row>
    <row r="355" spans="1:4" x14ac:dyDescent="0.3">
      <c r="A355" s="4" t="s">
        <v>29</v>
      </c>
      <c r="B355" s="4" t="s">
        <v>45</v>
      </c>
      <c r="C355" s="7">
        <v>4015</v>
      </c>
      <c r="D355" s="8">
        <v>2.314401166711821E-2</v>
      </c>
    </row>
    <row r="356" spans="1:4" x14ac:dyDescent="0.3">
      <c r="A356" s="4" t="s">
        <v>29</v>
      </c>
      <c r="B356" s="4" t="s">
        <v>44</v>
      </c>
      <c r="C356" s="7">
        <v>461</v>
      </c>
      <c r="D356" s="8">
        <v>2.6573821615296376E-3</v>
      </c>
    </row>
    <row r="357" spans="1:4" x14ac:dyDescent="0.3">
      <c r="A357" s="4" t="s">
        <v>29</v>
      </c>
      <c r="B357" s="4" t="s">
        <v>48</v>
      </c>
      <c r="C357" s="7">
        <v>257</v>
      </c>
      <c r="D357" s="8">
        <v>1.4814473221542665E-3</v>
      </c>
    </row>
    <row r="358" spans="1:4" x14ac:dyDescent="0.3">
      <c r="A358" s="4" t="s">
        <v>29</v>
      </c>
      <c r="B358" s="4" t="s">
        <v>54</v>
      </c>
      <c r="C358" s="7">
        <v>93</v>
      </c>
      <c r="D358" s="8">
        <v>5.3608794147994856E-4</v>
      </c>
    </row>
    <row r="359" spans="1:4" x14ac:dyDescent="0.3">
      <c r="A359" s="4" t="s">
        <v>29</v>
      </c>
      <c r="B359" s="4" t="s">
        <v>53</v>
      </c>
      <c r="C359" s="7">
        <v>44</v>
      </c>
      <c r="D359" s="8">
        <v>2.5363300457115846E-4</v>
      </c>
    </row>
    <row r="360" spans="1:4" x14ac:dyDescent="0.3">
      <c r="A360" s="4" t="s">
        <v>29</v>
      </c>
      <c r="B360" s="4" t="s">
        <v>71</v>
      </c>
      <c r="C360" s="7">
        <v>41</v>
      </c>
      <c r="D360" s="8">
        <v>2.3633984516857948E-4</v>
      </c>
    </row>
    <row r="361" spans="1:4" x14ac:dyDescent="0.3">
      <c r="A361" s="4" t="s">
        <v>29</v>
      </c>
      <c r="B361" s="4" t="s">
        <v>52</v>
      </c>
      <c r="C361" s="7">
        <v>26</v>
      </c>
      <c r="D361" s="8">
        <v>1.4987404815568455E-4</v>
      </c>
    </row>
    <row r="362" spans="1:4" x14ac:dyDescent="0.3">
      <c r="A362" s="4" t="s">
        <v>29</v>
      </c>
      <c r="B362" s="4" t="s">
        <v>57</v>
      </c>
      <c r="C362" s="7">
        <v>9</v>
      </c>
      <c r="D362" s="8">
        <v>5.1879478207736962E-5</v>
      </c>
    </row>
    <row r="363" spans="1:4" x14ac:dyDescent="0.3">
      <c r="A363" s="4" t="s">
        <v>29</v>
      </c>
      <c r="B363" s="4" t="s">
        <v>47</v>
      </c>
      <c r="C363" s="7">
        <v>8</v>
      </c>
      <c r="D363" s="8">
        <v>4.6115091740210631E-5</v>
      </c>
    </row>
    <row r="364" spans="1:4" x14ac:dyDescent="0.3">
      <c r="A364" s="4" t="s">
        <v>29</v>
      </c>
      <c r="B364" s="4" t="s">
        <v>46</v>
      </c>
      <c r="C364" s="7">
        <v>7</v>
      </c>
      <c r="D364" s="8">
        <v>4.03507052726843E-5</v>
      </c>
    </row>
    <row r="365" spans="1:4" x14ac:dyDescent="0.3">
      <c r="A365" s="4" t="s">
        <v>29</v>
      </c>
      <c r="B365" s="4" t="s">
        <v>72</v>
      </c>
      <c r="C365" s="7">
        <v>4</v>
      </c>
      <c r="D365" s="8">
        <v>2.3057545870105315E-5</v>
      </c>
    </row>
    <row r="366" spans="1:4" x14ac:dyDescent="0.3">
      <c r="A366" s="4" t="s">
        <v>29</v>
      </c>
      <c r="B366" s="4" t="s">
        <v>56</v>
      </c>
      <c r="C366" s="7">
        <v>2</v>
      </c>
      <c r="D366" s="8">
        <v>1.1528772935052658E-5</v>
      </c>
    </row>
    <row r="367" spans="1:4" x14ac:dyDescent="0.3">
      <c r="A367" s="4" t="s">
        <v>29</v>
      </c>
      <c r="B367" s="4" t="s">
        <v>58</v>
      </c>
      <c r="C367" s="7">
        <v>2</v>
      </c>
      <c r="D367" s="8">
        <v>1.1528772935052658E-5</v>
      </c>
    </row>
    <row r="368" spans="1:4" x14ac:dyDescent="0.3">
      <c r="A368" s="4" t="s">
        <v>29</v>
      </c>
      <c r="B368" s="4" t="s">
        <v>49</v>
      </c>
      <c r="C368" s="7">
        <v>1</v>
      </c>
      <c r="D368" s="8">
        <v>5.7643864675263289E-6</v>
      </c>
    </row>
    <row r="369" spans="1:4" x14ac:dyDescent="0.3">
      <c r="A369" s="4" t="s">
        <v>30</v>
      </c>
      <c r="B369" s="4" t="s">
        <v>43</v>
      </c>
      <c r="C369" s="7">
        <v>23257</v>
      </c>
      <c r="D369" s="8">
        <v>0.91469362070321714</v>
      </c>
    </row>
    <row r="370" spans="1:4" x14ac:dyDescent="0.3">
      <c r="A370" s="4" t="s">
        <v>30</v>
      </c>
      <c r="B370" s="4" t="s">
        <v>45</v>
      </c>
      <c r="C370" s="7">
        <v>2086</v>
      </c>
      <c r="D370" s="8">
        <v>8.2042004247620551E-2</v>
      </c>
    </row>
    <row r="371" spans="1:4" x14ac:dyDescent="0.3">
      <c r="A371" s="4" t="s">
        <v>30</v>
      </c>
      <c r="B371" s="4" t="s">
        <v>54</v>
      </c>
      <c r="C371" s="7">
        <v>34</v>
      </c>
      <c r="D371" s="8">
        <v>1.33721387556045E-3</v>
      </c>
    </row>
    <row r="372" spans="1:4" x14ac:dyDescent="0.3">
      <c r="A372" s="4" t="s">
        <v>30</v>
      </c>
      <c r="B372" s="4" t="s">
        <v>44</v>
      </c>
      <c r="C372" s="7">
        <v>24</v>
      </c>
      <c r="D372" s="8">
        <v>9.4391567686619995E-4</v>
      </c>
    </row>
    <row r="373" spans="1:4" x14ac:dyDescent="0.3">
      <c r="A373" s="4" t="s">
        <v>30</v>
      </c>
      <c r="B373" s="4" t="s">
        <v>52</v>
      </c>
      <c r="C373" s="7">
        <v>20</v>
      </c>
      <c r="D373" s="8">
        <v>7.8659639738850001E-4</v>
      </c>
    </row>
    <row r="374" spans="1:4" x14ac:dyDescent="0.3">
      <c r="A374" s="4" t="s">
        <v>30</v>
      </c>
      <c r="B374" s="4" t="s">
        <v>47</v>
      </c>
      <c r="C374" s="7">
        <v>2</v>
      </c>
      <c r="D374" s="8">
        <v>7.8659639738849996E-5</v>
      </c>
    </row>
    <row r="375" spans="1:4" x14ac:dyDescent="0.3">
      <c r="A375" s="4" t="s">
        <v>30</v>
      </c>
      <c r="B375" s="4" t="s">
        <v>53</v>
      </c>
      <c r="C375" s="7">
        <v>2</v>
      </c>
      <c r="D375" s="8">
        <v>7.8659639738849996E-5</v>
      </c>
    </row>
    <row r="376" spans="1:4" x14ac:dyDescent="0.3">
      <c r="A376" s="4" t="s">
        <v>30</v>
      </c>
      <c r="B376" s="4" t="s">
        <v>48</v>
      </c>
      <c r="C376" s="7">
        <v>1</v>
      </c>
      <c r="D376" s="8">
        <v>3.9329819869424998E-5</v>
      </c>
    </row>
    <row r="377" spans="1:4" x14ac:dyDescent="0.3">
      <c r="A377" s="4" t="s">
        <v>31</v>
      </c>
      <c r="B377" s="4" t="s">
        <v>44</v>
      </c>
      <c r="C377" s="7">
        <v>55296</v>
      </c>
      <c r="D377" s="8">
        <v>0.67703308274359042</v>
      </c>
    </row>
    <row r="378" spans="1:4" x14ac:dyDescent="0.3">
      <c r="A378" s="4" t="s">
        <v>31</v>
      </c>
      <c r="B378" s="4" t="s">
        <v>43</v>
      </c>
      <c r="C378" s="7">
        <v>22166</v>
      </c>
      <c r="D378" s="8">
        <v>0.27139603790680022</v>
      </c>
    </row>
    <row r="379" spans="1:4" x14ac:dyDescent="0.3">
      <c r="A379" s="4" t="s">
        <v>31</v>
      </c>
      <c r="B379" s="4" t="s">
        <v>46</v>
      </c>
      <c r="C379" s="7">
        <v>2241</v>
      </c>
      <c r="D379" s="8">
        <v>2.743835247447168E-2</v>
      </c>
    </row>
    <row r="380" spans="1:4" x14ac:dyDescent="0.3">
      <c r="A380" s="4" t="s">
        <v>31</v>
      </c>
      <c r="B380" s="4" t="s">
        <v>45</v>
      </c>
      <c r="C380" s="7">
        <v>1540</v>
      </c>
      <c r="D380" s="8">
        <v>1.8855449714719495E-2</v>
      </c>
    </row>
    <row r="381" spans="1:4" x14ac:dyDescent="0.3">
      <c r="A381" s="4" t="s">
        <v>31</v>
      </c>
      <c r="B381" s="4" t="s">
        <v>48</v>
      </c>
      <c r="C381" s="7">
        <v>152</v>
      </c>
      <c r="D381" s="8">
        <v>1.8610573744398463E-3</v>
      </c>
    </row>
    <row r="382" spans="1:4" x14ac:dyDescent="0.3">
      <c r="A382" s="4" t="s">
        <v>31</v>
      </c>
      <c r="B382" s="4" t="s">
        <v>49</v>
      </c>
      <c r="C382" s="7">
        <v>114</v>
      </c>
      <c r="D382" s="8">
        <v>1.3957930308298846E-3</v>
      </c>
    </row>
    <row r="383" spans="1:4" x14ac:dyDescent="0.3">
      <c r="A383" s="4" t="s">
        <v>31</v>
      </c>
      <c r="B383" s="4" t="s">
        <v>47</v>
      </c>
      <c r="C383" s="7">
        <v>90</v>
      </c>
      <c r="D383" s="8">
        <v>1.1019418664446458E-3</v>
      </c>
    </row>
    <row r="384" spans="1:4" x14ac:dyDescent="0.3">
      <c r="A384" s="4" t="s">
        <v>31</v>
      </c>
      <c r="B384" s="4" t="s">
        <v>52</v>
      </c>
      <c r="C384" s="7">
        <v>46</v>
      </c>
      <c r="D384" s="8">
        <v>5.6321473173837446E-4</v>
      </c>
    </row>
    <row r="385" spans="1:4" x14ac:dyDescent="0.3">
      <c r="A385" s="4" t="s">
        <v>31</v>
      </c>
      <c r="B385" s="4" t="s">
        <v>70</v>
      </c>
      <c r="C385" s="7">
        <v>26</v>
      </c>
      <c r="D385" s="8">
        <v>3.1833876141734214E-4</v>
      </c>
    </row>
    <row r="386" spans="1:4" x14ac:dyDescent="0.3">
      <c r="A386" s="4" t="s">
        <v>31</v>
      </c>
      <c r="B386" s="4" t="s">
        <v>54</v>
      </c>
      <c r="C386" s="7">
        <v>1</v>
      </c>
      <c r="D386" s="8">
        <v>1.224379851605162E-5</v>
      </c>
    </row>
    <row r="387" spans="1:4" x14ac:dyDescent="0.3">
      <c r="A387" s="4" t="s">
        <v>31</v>
      </c>
      <c r="B387" s="4" t="s">
        <v>55</v>
      </c>
      <c r="C387" s="7">
        <v>1</v>
      </c>
      <c r="D387" s="8">
        <v>1.224379851605162E-5</v>
      </c>
    </row>
    <row r="388" spans="1:4" x14ac:dyDescent="0.3">
      <c r="A388" s="4" t="s">
        <v>31</v>
      </c>
      <c r="B388" s="4" t="s">
        <v>51</v>
      </c>
      <c r="C388" s="7">
        <v>1</v>
      </c>
      <c r="D388" s="8">
        <v>1.224379851605162E-5</v>
      </c>
    </row>
    <row r="389" spans="1:4" x14ac:dyDescent="0.3">
      <c r="A389" s="4" t="s">
        <v>80</v>
      </c>
      <c r="B389" s="4"/>
      <c r="C389" s="7">
        <v>2124599</v>
      </c>
      <c r="D389" s="8">
        <v>1</v>
      </c>
    </row>
    <row r="390" spans="1:4" x14ac:dyDescent="0.3">
      <c r="B390" s="4"/>
      <c r="C390" s="4"/>
    </row>
    <row r="391" spans="1:4" x14ac:dyDescent="0.3">
      <c r="B391" s="4"/>
      <c r="C391" s="4"/>
    </row>
    <row r="392" spans="1:4" x14ac:dyDescent="0.3">
      <c r="B392" s="4"/>
      <c r="C392" s="4"/>
    </row>
    <row r="393" spans="1:4" x14ac:dyDescent="0.3">
      <c r="B393" s="4"/>
      <c r="C393" s="4"/>
    </row>
    <row r="394" spans="1:4" x14ac:dyDescent="0.3">
      <c r="B394" s="4"/>
      <c r="C394" s="4"/>
    </row>
    <row r="395" spans="1:4" x14ac:dyDescent="0.3">
      <c r="B395" s="4"/>
      <c r="C395" s="4"/>
    </row>
    <row r="396" spans="1:4" x14ac:dyDescent="0.3">
      <c r="B396" s="4"/>
      <c r="C396" s="4"/>
    </row>
    <row r="397" spans="1:4" x14ac:dyDescent="0.3">
      <c r="B397" s="4"/>
      <c r="C397" s="4"/>
    </row>
    <row r="398" spans="1:4" x14ac:dyDescent="0.3">
      <c r="B398" s="4"/>
      <c r="C398" s="4"/>
    </row>
    <row r="399" spans="1:4" x14ac:dyDescent="0.3">
      <c r="B399" s="4"/>
      <c r="C399" s="4"/>
    </row>
    <row r="400" spans="1:4" x14ac:dyDescent="0.3">
      <c r="B400" s="4"/>
      <c r="C400" s="4"/>
    </row>
    <row r="401" spans="2:3" x14ac:dyDescent="0.3">
      <c r="B401" s="4"/>
      <c r="C401" s="4"/>
    </row>
    <row r="402" spans="2:3" x14ac:dyDescent="0.3">
      <c r="B402" s="4"/>
      <c r="C402" s="4"/>
    </row>
    <row r="403" spans="2:3" x14ac:dyDescent="0.3">
      <c r="B403" s="4"/>
      <c r="C403" s="4"/>
    </row>
    <row r="404" spans="2:3" x14ac:dyDescent="0.3">
      <c r="B404" s="4"/>
      <c r="C404" s="4"/>
    </row>
    <row r="405" spans="2:3" x14ac:dyDescent="0.3">
      <c r="B405" s="4"/>
      <c r="C405" s="4"/>
    </row>
    <row r="406" spans="2:3" x14ac:dyDescent="0.3">
      <c r="B406" s="4"/>
      <c r="C406" s="4"/>
    </row>
    <row r="407" spans="2:3" x14ac:dyDescent="0.3">
      <c r="B407" s="4"/>
      <c r="C407" s="4"/>
    </row>
    <row r="408" spans="2:3" x14ac:dyDescent="0.3">
      <c r="B408" s="4"/>
      <c r="C408" s="4"/>
    </row>
    <row r="409" spans="2:3" x14ac:dyDescent="0.3">
      <c r="B409" s="4"/>
      <c r="C409" s="4"/>
    </row>
    <row r="410" spans="2:3" x14ac:dyDescent="0.3">
      <c r="B410" s="4"/>
      <c r="C410" s="4"/>
    </row>
    <row r="411" spans="2:3" x14ac:dyDescent="0.3">
      <c r="B411" s="4"/>
      <c r="C411" s="4"/>
    </row>
    <row r="412" spans="2:3" x14ac:dyDescent="0.3">
      <c r="B412" s="4"/>
      <c r="C412" s="4"/>
    </row>
    <row r="413" spans="2:3" x14ac:dyDescent="0.3">
      <c r="B413" s="4"/>
      <c r="C413" s="4"/>
    </row>
    <row r="414" spans="2:3" x14ac:dyDescent="0.3">
      <c r="B414" s="4"/>
      <c r="C414" s="4"/>
    </row>
    <row r="415" spans="2:3" x14ac:dyDescent="0.3">
      <c r="B415" s="4"/>
      <c r="C415" s="4"/>
    </row>
    <row r="416" spans="2:3" x14ac:dyDescent="0.3">
      <c r="B416" s="4"/>
      <c r="C416" s="4"/>
    </row>
    <row r="417" spans="2:3" x14ac:dyDescent="0.3">
      <c r="B417" s="4"/>
      <c r="C417" s="4"/>
    </row>
    <row r="418" spans="2:3" x14ac:dyDescent="0.3">
      <c r="B418" s="4"/>
      <c r="C418" s="4"/>
    </row>
    <row r="419" spans="2:3" x14ac:dyDescent="0.3">
      <c r="B419" s="4"/>
      <c r="C419" s="4"/>
    </row>
    <row r="420" spans="2:3" x14ac:dyDescent="0.3">
      <c r="B420" s="4"/>
      <c r="C420" s="4"/>
    </row>
    <row r="421" spans="2:3" x14ac:dyDescent="0.3">
      <c r="B421" s="4"/>
      <c r="C4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META2026</vt:lpstr>
      <vt:lpstr>CULTIVO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Dirección General de Fertilizantes para el Bienestar AGRICULTURA</dc:creator>
  <cp:lastModifiedBy>MARIANO SANTOS HERNÁNDEZ</cp:lastModifiedBy>
  <dcterms:created xsi:type="dcterms:W3CDTF">2026-07-23T19:52:10Z</dcterms:created>
  <dcterms:modified xsi:type="dcterms:W3CDTF">2026-07-23T20:08:42Z</dcterms:modified>
</cp:coreProperties>
</file>